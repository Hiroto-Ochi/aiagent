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01047477\Downloads\"/>
    </mc:Choice>
  </mc:AlternateContent>
  <xr:revisionPtr revIDLastSave="0" documentId="8_{79E03A5C-B672-4538-9B1D-DD4F8DBF79A3}" xr6:coauthVersionLast="47" xr6:coauthVersionMax="47" xr10:uidLastSave="{00000000-0000-0000-0000-000000000000}"/>
  <bookViews>
    <workbookView xWindow="-110" yWindow="-10910" windowWidth="19420" windowHeight="10300" activeTab="2" xr2:uid="{D9F7F1C0-3CD0-4DA2-AAB7-FE378B40E3F3}"/>
  </bookViews>
  <sheets>
    <sheet name="テスト観点整理（正常系）" sheetId="1" r:id="rId1"/>
    <sheet name="データ項目一覧" sheetId="3" r:id="rId2"/>
    <sheet name="Sheet1" sheetId="4" r:id="rId3"/>
    <sheet name="Sheet2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2" i="1"/>
</calcChain>
</file>

<file path=xl/sharedStrings.xml><?xml version="1.0" encoding="utf-8"?>
<sst xmlns="http://schemas.openxmlformats.org/spreadsheetml/2006/main" count="646" uniqueCount="395">
  <si>
    <t>stepNo.</t>
    <phoneticPr fontId="1"/>
  </si>
  <si>
    <t>ユーザー</t>
    <phoneticPr fontId="1"/>
  </si>
  <si>
    <t>操作対象</t>
    <rPh sb="0" eb="2">
      <t>ソウサ</t>
    </rPh>
    <rPh sb="2" eb="4">
      <t>タイショウ</t>
    </rPh>
    <phoneticPr fontId="1"/>
  </si>
  <si>
    <t>処理内容</t>
    <rPh sb="0" eb="2">
      <t>ショリ</t>
    </rPh>
    <rPh sb="2" eb="4">
      <t>ナイヨウ</t>
    </rPh>
    <phoneticPr fontId="1"/>
  </si>
  <si>
    <t>処理システム</t>
    <rPh sb="0" eb="2">
      <t>ショリ</t>
    </rPh>
    <phoneticPr fontId="1"/>
  </si>
  <si>
    <t>スプレッドシート,GAS</t>
    <phoneticPr fontId="1"/>
  </si>
  <si>
    <t>スプレッドシートにConcurと活文に必要なパラメータを入力後、スプレッドシートの"GAS実行ボタン"を押下する</t>
    <rPh sb="16" eb="18">
      <t>カツブン</t>
    </rPh>
    <rPh sb="19" eb="21">
      <t>ヒツヨウ</t>
    </rPh>
    <rPh sb="28" eb="30">
      <t>ニュウリョク</t>
    </rPh>
    <rPh sb="30" eb="31">
      <t>ゴ</t>
    </rPh>
    <rPh sb="45" eb="47">
      <t>ジッコウ</t>
    </rPh>
    <rPh sb="52" eb="54">
      <t>オウカ</t>
    </rPh>
    <phoneticPr fontId="1"/>
  </si>
  <si>
    <t>期待値</t>
    <rPh sb="0" eb="3">
      <t>キタイチ</t>
    </rPh>
    <phoneticPr fontId="1"/>
  </si>
  <si>
    <t>テスト観点</t>
    <rPh sb="3" eb="5">
      <t>カンテン</t>
    </rPh>
    <phoneticPr fontId="1"/>
  </si>
  <si>
    <t>システム</t>
    <phoneticPr fontId="1"/>
  </si>
  <si>
    <t>GASのロジックにて以下が満たされていること
1.スプシの対象レコードが選択されていること
2.バリデーション機能が有効になっていること
3.n8nにデータが引き渡されていること</t>
    <rPh sb="10" eb="12">
      <t>イカ</t>
    </rPh>
    <rPh sb="13" eb="14">
      <t>ミ</t>
    </rPh>
    <rPh sb="29" eb="31">
      <t>タイショウ</t>
    </rPh>
    <rPh sb="36" eb="38">
      <t>センタク</t>
    </rPh>
    <rPh sb="55" eb="57">
      <t>キノウ</t>
    </rPh>
    <rPh sb="58" eb="60">
      <t>ユウコウ</t>
    </rPh>
    <rPh sb="79" eb="80">
      <t>ヒ</t>
    </rPh>
    <rPh sb="81" eb="82">
      <t>ワタ</t>
    </rPh>
    <phoneticPr fontId="1"/>
  </si>
  <si>
    <t>n8nよりConcurの請求書登録に必要な銀行情報を取得する</t>
    <rPh sb="12" eb="15">
      <t>セイキュウショ</t>
    </rPh>
    <rPh sb="15" eb="17">
      <t>トウロク</t>
    </rPh>
    <rPh sb="18" eb="20">
      <t>ヒツヨウ</t>
    </rPh>
    <rPh sb="21" eb="25">
      <t>ギンコウジョウホウ</t>
    </rPh>
    <rPh sb="26" eb="28">
      <t>シュトク</t>
    </rPh>
    <phoneticPr fontId="1"/>
  </si>
  <si>
    <t>n8n,Concur</t>
    <phoneticPr fontId="1"/>
  </si>
  <si>
    <t>n8nよりConcurのアクセストークンを取得する</t>
    <rPh sb="21" eb="23">
      <t>シュトク</t>
    </rPh>
    <phoneticPr fontId="1"/>
  </si>
  <si>
    <t>n8nよりConcurに請求情報を登録する</t>
    <rPh sb="12" eb="14">
      <t>セイキュウ</t>
    </rPh>
    <rPh sb="14" eb="16">
      <t>ジョウホウ</t>
    </rPh>
    <rPh sb="17" eb="19">
      <t>トウロク</t>
    </rPh>
    <phoneticPr fontId="1"/>
  </si>
  <si>
    <t>データ項目</t>
    <rPh sb="3" eb="5">
      <t>コウモク</t>
    </rPh>
    <phoneticPr fontId="1"/>
  </si>
  <si>
    <t>D1</t>
    <phoneticPr fontId="1"/>
  </si>
  <si>
    <t>D2</t>
    <phoneticPr fontId="1"/>
  </si>
  <si>
    <t>n8nよりConcurに請求書をアップロードする</t>
    <rPh sb="12" eb="15">
      <t>セイキュウショ</t>
    </rPh>
    <phoneticPr fontId="1"/>
  </si>
  <si>
    <t>n8nより活文のセッションIDを取得する</t>
    <rPh sb="5" eb="7">
      <t>カツブン</t>
    </rPh>
    <rPh sb="16" eb="18">
      <t>シュトク</t>
    </rPh>
    <phoneticPr fontId="1"/>
  </si>
  <si>
    <t>n8nのロジックにて以下が満たされていること
1.ConcurAPIより対象ユーザーのアクセストークンが取得できること</t>
    <rPh sb="10" eb="12">
      <t>イカ</t>
    </rPh>
    <rPh sb="13" eb="14">
      <t>ミ</t>
    </rPh>
    <rPh sb="36" eb="38">
      <t>タイショウ</t>
    </rPh>
    <phoneticPr fontId="1"/>
  </si>
  <si>
    <t>n8nのロジックにて以下が満たされていること
1.ConcurAPIより対象の支払先の銀行情報が取得できること</t>
    <rPh sb="10" eb="12">
      <t>イカ</t>
    </rPh>
    <rPh sb="13" eb="14">
      <t>ミ</t>
    </rPh>
    <rPh sb="39" eb="41">
      <t>シハライ</t>
    </rPh>
    <rPh sb="41" eb="42">
      <t>サキ</t>
    </rPh>
    <rPh sb="43" eb="45">
      <t>ギンコウ</t>
    </rPh>
    <rPh sb="45" eb="47">
      <t>ジョウホウ</t>
    </rPh>
    <phoneticPr fontId="1"/>
  </si>
  <si>
    <t>n8nのロジックにて以下が満たされていること
1.ConcurAPIより対象レコードの請求データが作成されること
2.請求データ作成後、Concurの請求書番号が取得できること</t>
    <rPh sb="10" eb="12">
      <t>イカ</t>
    </rPh>
    <rPh sb="13" eb="14">
      <t>ミ</t>
    </rPh>
    <rPh sb="43" eb="45">
      <t>セイキュウ</t>
    </rPh>
    <rPh sb="49" eb="51">
      <t>サクセイ</t>
    </rPh>
    <rPh sb="59" eb="61">
      <t>セイキュウ</t>
    </rPh>
    <rPh sb="64" eb="67">
      <t>サクセイゴ</t>
    </rPh>
    <rPh sb="75" eb="78">
      <t>セイキュウショ</t>
    </rPh>
    <rPh sb="78" eb="80">
      <t>バンゴウ</t>
    </rPh>
    <rPh sb="81" eb="83">
      <t>シュトク</t>
    </rPh>
    <phoneticPr fontId="1"/>
  </si>
  <si>
    <t>n8nのロジックにて以下が満たされていること
1.ConcurAPIより対象の請求書番号に請求書がアップロードされること</t>
    <rPh sb="10" eb="12">
      <t>イカ</t>
    </rPh>
    <rPh sb="13" eb="14">
      <t>ミ</t>
    </rPh>
    <rPh sb="39" eb="41">
      <t>セイキュウ</t>
    </rPh>
    <rPh sb="41" eb="42">
      <t>ショ</t>
    </rPh>
    <rPh sb="42" eb="44">
      <t>バンゴウ</t>
    </rPh>
    <rPh sb="45" eb="48">
      <t>セイキュウショ</t>
    </rPh>
    <phoneticPr fontId="1"/>
  </si>
  <si>
    <t>n8nのロジックにて以下が満たされていること
1.活文APIより対象ユーザーのセッションIDが取得されること</t>
    <rPh sb="10" eb="12">
      <t>イカ</t>
    </rPh>
    <rPh sb="13" eb="14">
      <t>ミ</t>
    </rPh>
    <rPh sb="25" eb="27">
      <t>カツブン</t>
    </rPh>
    <rPh sb="32" eb="34">
      <t>タイショウ</t>
    </rPh>
    <rPh sb="47" eb="49">
      <t>シュトク</t>
    </rPh>
    <phoneticPr fontId="1"/>
  </si>
  <si>
    <t>n8nより活文に請求書以外の文書を登録すべきか判断する</t>
    <rPh sb="5" eb="7">
      <t>カツブン</t>
    </rPh>
    <rPh sb="8" eb="11">
      <t>セイキュウショ</t>
    </rPh>
    <rPh sb="11" eb="13">
      <t>イガイ</t>
    </rPh>
    <rPh sb="14" eb="16">
      <t>ブンショ</t>
    </rPh>
    <rPh sb="17" eb="19">
      <t>トウロク</t>
    </rPh>
    <rPh sb="23" eb="25">
      <t>ハンダン</t>
    </rPh>
    <phoneticPr fontId="1"/>
  </si>
  <si>
    <t>n8n</t>
    <phoneticPr fontId="1"/>
  </si>
  <si>
    <t>n8nのロジックにて以下が満たされていること
1.活文に登録する文書情報があれば、活文処理に進むこと
2.活文に登録する文書情報がなければ、活文処理はスキップされること</t>
    <rPh sb="10" eb="12">
      <t>イカ</t>
    </rPh>
    <rPh sb="13" eb="14">
      <t>ミ</t>
    </rPh>
    <rPh sb="25" eb="27">
      <t>カツブン</t>
    </rPh>
    <rPh sb="28" eb="30">
      <t>トウロク</t>
    </rPh>
    <rPh sb="32" eb="34">
      <t>ブンショ</t>
    </rPh>
    <rPh sb="34" eb="36">
      <t>ジョウホウ</t>
    </rPh>
    <rPh sb="41" eb="43">
      <t>カツブン</t>
    </rPh>
    <rPh sb="43" eb="45">
      <t>ショリ</t>
    </rPh>
    <rPh sb="46" eb="47">
      <t>スス</t>
    </rPh>
    <rPh sb="53" eb="55">
      <t>カツブン</t>
    </rPh>
    <rPh sb="56" eb="58">
      <t>トウロク</t>
    </rPh>
    <rPh sb="60" eb="62">
      <t>ブンショ</t>
    </rPh>
    <rPh sb="62" eb="64">
      <t>ジョウホウ</t>
    </rPh>
    <rPh sb="70" eb="72">
      <t>カツブン</t>
    </rPh>
    <rPh sb="72" eb="74">
      <t>ショリ</t>
    </rPh>
    <phoneticPr fontId="1"/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</si>
  <si>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</si>
  <si>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</si>
  <si>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</si>
  <si>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</si>
  <si>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</si>
  <si>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</si>
  <si>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</si>
  <si>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</si>
  <si>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</si>
  <si>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n8nより活文の格納先が作成されること</t>
    <rPh sb="5" eb="7">
      <t>カツブン</t>
    </rPh>
    <rPh sb="8" eb="11">
      <t>カクノウサキ</t>
    </rPh>
    <rPh sb="12" eb="14">
      <t>サクセイ</t>
    </rPh>
    <phoneticPr fontId="1"/>
  </si>
  <si>
    <t>n8n,活文</t>
    <rPh sb="4" eb="6">
      <t>カツブン</t>
    </rPh>
    <phoneticPr fontId="1"/>
  </si>
  <si>
    <t>n8nのロジックにて以下が満たされていること
1.活文APIより適切な場所に対象フォルダの作成ができること
2.活文APIより適切な権限が付与されていること
3.活文APIより適切な属性情報が登録されていること</t>
    <rPh sb="10" eb="12">
      <t>イカ</t>
    </rPh>
    <rPh sb="13" eb="14">
      <t>ミ</t>
    </rPh>
    <rPh sb="25" eb="27">
      <t>カツブン</t>
    </rPh>
    <rPh sb="32" eb="34">
      <t>テキセツ</t>
    </rPh>
    <rPh sb="35" eb="37">
      <t>バショ</t>
    </rPh>
    <rPh sb="38" eb="40">
      <t>タイショウ</t>
    </rPh>
    <rPh sb="45" eb="47">
      <t>サクセイ</t>
    </rPh>
    <rPh sb="56" eb="58">
      <t>カツブン</t>
    </rPh>
    <rPh sb="63" eb="65">
      <t>テキセツ</t>
    </rPh>
    <rPh sb="66" eb="68">
      <t>ケンゲン</t>
    </rPh>
    <rPh sb="69" eb="71">
      <t>フヨ</t>
    </rPh>
    <rPh sb="81" eb="82">
      <t>カツ</t>
    </rPh>
    <rPh sb="82" eb="83">
      <t>ブン</t>
    </rPh>
    <rPh sb="88" eb="90">
      <t>テキセツ</t>
    </rPh>
    <rPh sb="91" eb="93">
      <t>ゾクセイ</t>
    </rPh>
    <rPh sb="93" eb="95">
      <t>ジョウホウ</t>
    </rPh>
    <rPh sb="96" eb="98">
      <t>トウロク</t>
    </rPh>
    <phoneticPr fontId="1"/>
  </si>
  <si>
    <t>n8nより活文の格納先にファイルがアップロードされること</t>
    <rPh sb="5" eb="7">
      <t>カツブン</t>
    </rPh>
    <rPh sb="8" eb="11">
      <t>カクノウサキ</t>
    </rPh>
    <phoneticPr fontId="1"/>
  </si>
  <si>
    <t>n8nのロジックにて以下が満たされていること
1.活文APIより対象フォルダにファイルがアップロードされていること
2.活文APIより適切な権限が付与されていること
3.活文APIより適切な属性情報が登録されていること</t>
    <rPh sb="10" eb="12">
      <t>イカ</t>
    </rPh>
    <rPh sb="13" eb="14">
      <t>ミ</t>
    </rPh>
    <rPh sb="25" eb="27">
      <t>カツブン</t>
    </rPh>
    <rPh sb="32" eb="34">
      <t>タイショウ</t>
    </rPh>
    <rPh sb="60" eb="62">
      <t>カツブン</t>
    </rPh>
    <rPh sb="67" eb="69">
      <t>テキセツ</t>
    </rPh>
    <rPh sb="70" eb="72">
      <t>ケンゲン</t>
    </rPh>
    <rPh sb="73" eb="75">
      <t>フヨ</t>
    </rPh>
    <rPh sb="85" eb="86">
      <t>カツ</t>
    </rPh>
    <rPh sb="86" eb="87">
      <t>ブン</t>
    </rPh>
    <rPh sb="92" eb="94">
      <t>テキセツ</t>
    </rPh>
    <rPh sb="95" eb="97">
      <t>ゾクセイ</t>
    </rPh>
    <rPh sb="97" eb="99">
      <t>ジョウホウ</t>
    </rPh>
    <rPh sb="100" eb="102">
      <t>トウロク</t>
    </rPh>
    <phoneticPr fontId="1"/>
  </si>
  <si>
    <t>n8nより処理結果がスプレッドシートに出力されること</t>
    <rPh sb="5" eb="9">
      <t>ショリケッカ</t>
    </rPh>
    <rPh sb="19" eb="21">
      <t>シュツリョク</t>
    </rPh>
    <phoneticPr fontId="1"/>
  </si>
  <si>
    <t>n8n,GAS,スプレッドシート</t>
    <phoneticPr fontId="1"/>
  </si>
  <si>
    <t>n8nのロジックにて以下が満たされていること
1.スプシの対象レコードにConcur（活文）の結果が出力されること
2.出力に必要な情報はConcurの請求書情報をもとに抽出できていること</t>
    <rPh sb="10" eb="12">
      <t>イカ</t>
    </rPh>
    <rPh sb="13" eb="14">
      <t>ミ</t>
    </rPh>
    <rPh sb="29" eb="31">
      <t>タイショウ</t>
    </rPh>
    <rPh sb="43" eb="45">
      <t>カツブン</t>
    </rPh>
    <rPh sb="47" eb="49">
      <t>ケッカ</t>
    </rPh>
    <rPh sb="50" eb="52">
      <t>シュツリョク</t>
    </rPh>
    <rPh sb="60" eb="62">
      <t>シュツリョク</t>
    </rPh>
    <rPh sb="63" eb="65">
      <t>ヒツヨウ</t>
    </rPh>
    <rPh sb="66" eb="68">
      <t>ジョウホウ</t>
    </rPh>
    <rPh sb="76" eb="81">
      <t>セイキュウショジョウホウ</t>
    </rPh>
    <rPh sb="85" eb="87">
      <t>チュウシュツ</t>
    </rPh>
    <phoneticPr fontId="1"/>
  </si>
  <si>
    <t>起動条件・
データ引渡し</t>
    <rPh sb="0" eb="4">
      <t>キドウジョウケン</t>
    </rPh>
    <rPh sb="9" eb="11">
      <t>ヒキワタ</t>
    </rPh>
    <phoneticPr fontId="1"/>
  </si>
  <si>
    <t>API認証・
接続確認</t>
    <rPh sb="3" eb="5">
      <t>ニンショウ</t>
    </rPh>
    <rPh sb="7" eb="9">
      <t>セツゾク</t>
    </rPh>
    <rPh sb="9" eb="11">
      <t>カクニン</t>
    </rPh>
    <phoneticPr fontId="1"/>
  </si>
  <si>
    <t>マスタデータ
取得・照合</t>
    <rPh sb="7" eb="9">
      <t>シュトク</t>
    </rPh>
    <rPh sb="10" eb="12">
      <t>ショウゴウ</t>
    </rPh>
    <phoneticPr fontId="1"/>
  </si>
  <si>
    <t>データ登録・
戻り値取得</t>
    <rPh sb="3" eb="5">
      <t>トウロク</t>
    </rPh>
    <rPh sb="7" eb="8">
      <t>モド</t>
    </rPh>
    <rPh sb="9" eb="10">
      <t>チ</t>
    </rPh>
    <rPh sb="10" eb="12">
      <t>シュトク</t>
    </rPh>
    <phoneticPr fontId="1"/>
  </si>
  <si>
    <t>ファイル連携・
紐づけ</t>
    <rPh sb="4" eb="6">
      <t>レンケイ</t>
    </rPh>
    <rPh sb="8" eb="9">
      <t>ヒモ</t>
    </rPh>
    <phoneticPr fontId="1"/>
  </si>
  <si>
    <t>条件分岐判定</t>
    <rPh sb="0" eb="2">
      <t>ジョウケン</t>
    </rPh>
    <rPh sb="2" eb="4">
      <t>ブンキ</t>
    </rPh>
    <rPh sb="4" eb="6">
      <t>ハンテイ</t>
    </rPh>
    <phoneticPr fontId="1"/>
  </si>
  <si>
    <t>ディレクトリ
作成・権限設定</t>
    <rPh sb="7" eb="9">
      <t>サクセイ</t>
    </rPh>
    <rPh sb="10" eb="12">
      <t>ケンゲン</t>
    </rPh>
    <rPh sb="12" eb="14">
      <t>セッテイ</t>
    </rPh>
    <phoneticPr fontId="1"/>
  </si>
  <si>
    <t>ファイル格納・
属性設定</t>
    <rPh sb="4" eb="6">
      <t>カクノウ</t>
    </rPh>
    <rPh sb="8" eb="10">
      <t>ゾクセイ</t>
    </rPh>
    <rPh sb="10" eb="12">
      <t>セッテイ</t>
    </rPh>
    <phoneticPr fontId="1"/>
  </si>
  <si>
    <t>結果反映・
データ整合性</t>
    <rPh sb="0" eb="2">
      <t>ケッカ</t>
    </rPh>
    <rPh sb="2" eb="4">
      <t>ハンエイ</t>
    </rPh>
    <rPh sb="9" eb="12">
      <t>セイゴウセイ</t>
    </rPh>
    <phoneticPr fontId="1"/>
  </si>
  <si>
    <t>活文</t>
    <rPh sb="0" eb="2">
      <t>カツブン</t>
    </rPh>
    <phoneticPr fontId="1"/>
  </si>
  <si>
    <t>明細情報</t>
    <rPh sb="0" eb="4">
      <t>メイサイジョウホウ</t>
    </rPh>
    <phoneticPr fontId="2"/>
  </si>
  <si>
    <t>Concur</t>
    <phoneticPr fontId="2"/>
  </si>
  <si>
    <t>請求書情報</t>
    <rPh sb="0" eb="5">
      <t>セイキュウショジョウホウ</t>
    </rPh>
    <phoneticPr fontId="2"/>
  </si>
  <si>
    <t>経費</t>
    <rPh sb="0" eb="2">
      <t>ケイヒ</t>
    </rPh>
    <phoneticPr fontId="2"/>
  </si>
  <si>
    <t>原価</t>
    <rPh sb="0" eb="2">
      <t>ゲンカ</t>
    </rPh>
    <phoneticPr fontId="2"/>
  </si>
  <si>
    <t>請求書名（伝票摘要）</t>
    <rPh sb="0" eb="4">
      <t>セイキュウショメイ</t>
    </rPh>
    <rPh sb="5" eb="9">
      <t>デンピョウテキヨウ</t>
    </rPh>
    <phoneticPr fontId="2"/>
  </si>
  <si>
    <t>支払金額（税込）</t>
    <rPh sb="0" eb="4">
      <t>シハライキンガク</t>
    </rPh>
    <rPh sb="5" eb="7">
      <t>ゼイコミ</t>
    </rPh>
    <phoneticPr fontId="2"/>
  </si>
  <si>
    <t>請求書発行日</t>
    <phoneticPr fontId="2"/>
  </si>
  <si>
    <t>取引先コード</t>
    <rPh sb="0" eb="3">
      <t>トリヒキサキ</t>
    </rPh>
    <phoneticPr fontId="2"/>
  </si>
  <si>
    <t>登録番号</t>
    <rPh sb="0" eb="4">
      <t>トウロクバンゴウ</t>
    </rPh>
    <phoneticPr fontId="2"/>
  </si>
  <si>
    <t>口座番号</t>
  </si>
  <si>
    <t>支払方法</t>
    <rPh sb="0" eb="4">
      <t>シハライホウホウ</t>
    </rPh>
    <phoneticPr fontId="2"/>
  </si>
  <si>
    <t>支払予定日</t>
    <rPh sb="0" eb="5">
      <t>シハライヨテイビ</t>
    </rPh>
    <phoneticPr fontId="2"/>
  </si>
  <si>
    <t>口座種別</t>
    <rPh sb="0" eb="4">
      <t>コウザシュベツ</t>
    </rPh>
    <phoneticPr fontId="2"/>
  </si>
  <si>
    <t>口座名義</t>
  </si>
  <si>
    <t>銀行C</t>
  </si>
  <si>
    <t>支店番号</t>
  </si>
  <si>
    <t>経費タイプ</t>
    <rPh sb="0" eb="2">
      <t>ケイヒ</t>
    </rPh>
    <phoneticPr fontId="2"/>
  </si>
  <si>
    <t>支払金額(税抜)</t>
    <rPh sb="0" eb="4">
      <t>シハライキンガク</t>
    </rPh>
    <rPh sb="5" eb="7">
      <t>ゼイヌ</t>
    </rPh>
    <phoneticPr fontId="2"/>
  </si>
  <si>
    <t>内容</t>
    <rPh sb="0" eb="2">
      <t>ナイヨウ</t>
    </rPh>
    <phoneticPr fontId="2"/>
  </si>
  <si>
    <t>利用開始日</t>
  </si>
  <si>
    <t>利用終了日</t>
  </si>
  <si>
    <t>明細コード</t>
    <rPh sb="0" eb="2">
      <t>メイサイ</t>
    </rPh>
    <phoneticPr fontId="2"/>
  </si>
  <si>
    <t>ログインID</t>
    <phoneticPr fontId="2"/>
  </si>
  <si>
    <t>パスワード</t>
    <phoneticPr fontId="2"/>
  </si>
  <si>
    <t>電話番号</t>
    <rPh sb="0" eb="4">
      <t>デンワバンゴウ</t>
    </rPh>
    <phoneticPr fontId="2"/>
  </si>
  <si>
    <t>作業報告書添付確認</t>
    <rPh sb="0" eb="5">
      <t>サギョウホウコクショ</t>
    </rPh>
    <rPh sb="5" eb="9">
      <t>テンプカクニン</t>
    </rPh>
    <phoneticPr fontId="2"/>
  </si>
  <si>
    <t>登録番号なし</t>
    <rPh sb="0" eb="4">
      <t>トウロクバンゴウ</t>
    </rPh>
    <phoneticPr fontId="2"/>
  </si>
  <si>
    <t>備考（経理は非参照）</t>
    <rPh sb="0" eb="2">
      <t>ビコウ</t>
    </rPh>
    <rPh sb="3" eb="5">
      <t>ケイリ</t>
    </rPh>
    <rPh sb="6" eb="9">
      <t>ヒサンショウ</t>
    </rPh>
    <phoneticPr fontId="2"/>
  </si>
  <si>
    <t>OASYS発注書No</t>
    <rPh sb="5" eb="8">
      <t>ハッチュウショ</t>
    </rPh>
    <phoneticPr fontId="2"/>
  </si>
  <si>
    <t>請求書No</t>
    <rPh sb="0" eb="3">
      <t>セイキュウショ</t>
    </rPh>
    <phoneticPr fontId="2"/>
  </si>
  <si>
    <t>請求書代用書区分</t>
    <rPh sb="0" eb="8">
      <t>セイキュウショダイヨウショクブン</t>
    </rPh>
    <phoneticPr fontId="2"/>
  </si>
  <si>
    <t>所属組織（コード）</t>
    <rPh sb="0" eb="4">
      <t>ショゾクソシキ</t>
    </rPh>
    <phoneticPr fontId="2"/>
  </si>
  <si>
    <t>消費税チェック項目（システム値）</t>
    <rPh sb="0" eb="3">
      <t>ショウヒゼイ</t>
    </rPh>
    <rPh sb="7" eb="9">
      <t>コウモク</t>
    </rPh>
    <rPh sb="14" eb="15">
      <t>アタイ</t>
    </rPh>
    <phoneticPr fontId="2"/>
  </si>
  <si>
    <t>依頼組織（コード値）</t>
    <rPh sb="0" eb="4">
      <t>イライソシキ</t>
    </rPh>
    <rPh sb="8" eb="9">
      <t>チ</t>
    </rPh>
    <phoneticPr fontId="2"/>
  </si>
  <si>
    <t>依頼者個人（コード値）</t>
    <rPh sb="0" eb="5">
      <t>イライシャコジン</t>
    </rPh>
    <rPh sb="9" eb="10">
      <t>チ</t>
    </rPh>
    <phoneticPr fontId="2"/>
  </si>
  <si>
    <t>支払先コード</t>
    <rPh sb="0" eb="3">
      <t>シハライサキ</t>
    </rPh>
    <phoneticPr fontId="2"/>
  </si>
  <si>
    <t>P納品日</t>
    <rPh sb="1" eb="4">
      <t>ノウヒンビ</t>
    </rPh>
    <phoneticPr fontId="2"/>
  </si>
  <si>
    <t>費用負担組織（コード）</t>
    <rPh sb="0" eb="6">
      <t>ヒヨウフタンソシキ</t>
    </rPh>
    <phoneticPr fontId="2"/>
  </si>
  <si>
    <t>立替</t>
    <rPh sb="0" eb="2">
      <t>タテカエ</t>
    </rPh>
    <phoneticPr fontId="2"/>
  </si>
  <si>
    <t>消費税額</t>
    <rPh sb="0" eb="4">
      <t>ショウヒゼイガク</t>
    </rPh>
    <phoneticPr fontId="2"/>
  </si>
  <si>
    <t>開催年月日</t>
    <rPh sb="0" eb="5">
      <t>カイサイネンガッピ</t>
    </rPh>
    <phoneticPr fontId="2"/>
  </si>
  <si>
    <t>宿泊数</t>
    <rPh sb="0" eb="3">
      <t>シュクハクスウ</t>
    </rPh>
    <phoneticPr fontId="2"/>
  </si>
  <si>
    <t>会場名・飲食店名</t>
    <rPh sb="0" eb="3">
      <t>カイジョウメイ</t>
    </rPh>
    <rPh sb="4" eb="8">
      <t>インショクテンメイ</t>
    </rPh>
    <phoneticPr fontId="2"/>
  </si>
  <si>
    <t>会場・飲食店所在地</t>
    <rPh sb="0" eb="2">
      <t>カイジョウ</t>
    </rPh>
    <rPh sb="3" eb="6">
      <t>インショクテン</t>
    </rPh>
    <rPh sb="6" eb="9">
      <t>ショザイチ</t>
    </rPh>
    <phoneticPr fontId="2"/>
  </si>
  <si>
    <t>ALL9内容記入欄</t>
    <rPh sb="4" eb="9">
      <t>ナイヨウキニュウラン</t>
    </rPh>
    <phoneticPr fontId="2"/>
  </si>
  <si>
    <t>負担組織</t>
    <rPh sb="0" eb="4">
      <t>フタンソシキ</t>
    </rPh>
    <phoneticPr fontId="2"/>
  </si>
  <si>
    <t>(共)事業１</t>
  </si>
  <si>
    <t>(共)商品納品日CD</t>
  </si>
  <si>
    <t>(共)企画パターンCD１</t>
  </si>
  <si>
    <t>(共)事業２</t>
  </si>
  <si>
    <t>(共)企画パターンCD２</t>
  </si>
  <si>
    <t>(共)企画C</t>
  </si>
  <si>
    <t>(個)受注番号・企画連番</t>
  </si>
  <si>
    <t>原価コード</t>
  </si>
  <si>
    <t>依頼者組織コード</t>
  </si>
  <si>
    <t>担当者コード</t>
  </si>
  <si>
    <t>原価コメント</t>
  </si>
  <si>
    <t>(個)事業</t>
  </si>
  <si>
    <t>(共)明細コード</t>
  </si>
  <si>
    <t>%値</t>
    <rPh sb="1" eb="2">
      <t>アタイ</t>
    </rPh>
    <phoneticPr fontId="2"/>
  </si>
  <si>
    <t>予実No.（請求書キー）</t>
  </si>
  <si>
    <t>Name</t>
    <phoneticPr fontId="2"/>
  </si>
  <si>
    <t>InvoiceAmount</t>
    <phoneticPr fontId="2"/>
  </si>
  <si>
    <t>InvoiceDate</t>
    <phoneticPr fontId="2"/>
  </si>
  <si>
    <t>VendorCode</t>
    <phoneticPr fontId="2"/>
  </si>
  <si>
    <t>VendorTaxId</t>
  </si>
  <si>
    <t>Custom 4</t>
  </si>
  <si>
    <t>Custom5</t>
  </si>
  <si>
    <t>Custom 6</t>
  </si>
  <si>
    <t>Custom8</t>
  </si>
  <si>
    <t>Custom10</t>
  </si>
  <si>
    <t>Custom11</t>
  </si>
  <si>
    <t>Custom12</t>
  </si>
  <si>
    <t>ExpenseTypeCode</t>
  </si>
  <si>
    <t>Quantity</t>
  </si>
  <si>
    <t>UnitPrice</t>
  </si>
  <si>
    <t>Description</t>
  </si>
  <si>
    <t>Custom1</t>
  </si>
  <si>
    <t>Custom2</t>
  </si>
  <si>
    <t>Custom4</t>
  </si>
  <si>
    <t>ファイルURL</t>
  </si>
  <si>
    <t>EmployeeLoginId</t>
    <phoneticPr fontId="2"/>
  </si>
  <si>
    <t>password</t>
    <phoneticPr fontId="2"/>
  </si>
  <si>
    <t>Custom2</t>
    <phoneticPr fontId="2"/>
  </si>
  <si>
    <t>Custom13</t>
    <phoneticPr fontId="2"/>
  </si>
  <si>
    <t>Custom14</t>
    <phoneticPr fontId="2"/>
  </si>
  <si>
    <t>Custom17</t>
    <phoneticPr fontId="2"/>
  </si>
  <si>
    <t>DeliverySlipNumber</t>
    <phoneticPr fontId="2"/>
  </si>
  <si>
    <t>InvoiceNumber</t>
    <phoneticPr fontId="2"/>
  </si>
  <si>
    <t>IsEmergencyCheckRun</t>
  </si>
  <si>
    <t>OrgUnit2</t>
  </si>
  <si>
    <t>OrgUnit4</t>
    <phoneticPr fontId="2"/>
  </si>
  <si>
    <t>OrgUnit5</t>
    <phoneticPr fontId="2"/>
  </si>
  <si>
    <t>OrgUnit6</t>
    <phoneticPr fontId="2"/>
  </si>
  <si>
    <t>AddressCode</t>
    <phoneticPr fontId="2"/>
  </si>
  <si>
    <t>Custom3</t>
    <phoneticPr fontId="2"/>
  </si>
  <si>
    <t>Custom9</t>
    <phoneticPr fontId="2"/>
  </si>
  <si>
    <t>Custom15</t>
    <phoneticPr fontId="2"/>
  </si>
  <si>
    <t>VatAmount</t>
    <phoneticPr fontId="2"/>
  </si>
  <si>
    <t>Custom5</t>
    <phoneticPr fontId="2"/>
  </si>
  <si>
    <t>Custom7</t>
    <phoneticPr fontId="2"/>
  </si>
  <si>
    <t>Custom11</t>
    <phoneticPr fontId="2"/>
  </si>
  <si>
    <t>Custom12</t>
    <phoneticPr fontId="2"/>
  </si>
  <si>
    <t>Custom3</t>
  </si>
  <si>
    <t>Custom6</t>
  </si>
  <si>
    <t>Custom7</t>
  </si>
  <si>
    <t>Custom9</t>
  </si>
  <si>
    <t>Custom14</t>
  </si>
  <si>
    <t>Custom15</t>
  </si>
  <si>
    <t>Custom19</t>
    <phoneticPr fontId="2"/>
  </si>
  <si>
    <t>Percentage</t>
    <phoneticPr fontId="2"/>
  </si>
  <si>
    <t>データ項目No</t>
    <rPh sb="3" eb="5">
      <t>コウモク</t>
    </rPh>
    <phoneticPr fontId="1"/>
  </si>
  <si>
    <t>請求書情報（必須）</t>
    <rPh sb="0" eb="3">
      <t>セイキュウショ</t>
    </rPh>
    <rPh sb="3" eb="5">
      <t>ジョウホウ</t>
    </rPh>
    <rPh sb="6" eb="8">
      <t>ヒッス</t>
    </rPh>
    <phoneticPr fontId="2"/>
  </si>
  <si>
    <t>明細情報（必須）</t>
    <rPh sb="0" eb="4">
      <t>メイサイジョウホウ</t>
    </rPh>
    <rPh sb="5" eb="7">
      <t>ヒッス</t>
    </rPh>
    <phoneticPr fontId="2"/>
  </si>
  <si>
    <t>作業報告書・納品書</t>
  </si>
  <si>
    <t>その他添付資料（按分表等）①</t>
  </si>
  <si>
    <t>その他添付資料②</t>
  </si>
  <si>
    <t>その他添付資料③</t>
  </si>
  <si>
    <t>-</t>
    <phoneticPr fontId="1"/>
  </si>
  <si>
    <t>請求番号（登録時発番）</t>
    <rPh sb="0" eb="2">
      <t>セイキュウ</t>
    </rPh>
    <rPh sb="2" eb="4">
      <t>バンゴウ</t>
    </rPh>
    <rPh sb="5" eb="7">
      <t>トウロク</t>
    </rPh>
    <rPh sb="7" eb="8">
      <t>ジ</t>
    </rPh>
    <rPh sb="8" eb="10">
      <t>ハツバン</t>
    </rPh>
    <phoneticPr fontId="1"/>
  </si>
  <si>
    <t>●</t>
    <phoneticPr fontId="1"/>
  </si>
  <si>
    <t>No</t>
  </si>
  <si>
    <t>項目名</t>
  </si>
  <si>
    <t>フィールド名</t>
  </si>
  <si>
    <t>参照先/固定値</t>
  </si>
  <si>
    <t>#1</t>
  </si>
  <si>
    <t>伝票摘要</t>
  </si>
  <si>
    <t>Name</t>
  </si>
  <si>
    <t>{{EY}}</t>
  </si>
  <si>
    <t>#2</t>
  </si>
  <si>
    <t>請求書発行日</t>
  </si>
  <si>
    <t>InvoiceDate</t>
  </si>
  <si>
    <t>#3</t>
  </si>
  <si>
    <t>支払金額（税込）</t>
  </si>
  <si>
    <t>InvoiceAmount</t>
  </si>
  <si>
    <t>{{EW}}</t>
  </si>
  <si>
    <t>#4</t>
  </si>
  <si>
    <t>支払予定日</t>
  </si>
  <si>
    <t>{{EV}}</t>
  </si>
  <si>
    <t>#5</t>
  </si>
  <si>
    <t>経費タイプ</t>
  </si>
  <si>
    <t>LineItems.ExpenseTypeCode</t>
  </si>
  <si>
    <t>{{FC}}</t>
  </si>
  <si>
    <t>#6</t>
  </si>
  <si>
    <t>サービス総数</t>
  </si>
  <si>
    <t>LineItems.Quantity</t>
  </si>
  <si>
    <t>#7</t>
  </si>
  <si>
    <t>支払金額（税抜）</t>
  </si>
  <si>
    <t>LineItems.UnitPrice</t>
  </si>
  <si>
    <t>{{FG}}</t>
  </si>
  <si>
    <t>#8</t>
  </si>
  <si>
    <t>内容</t>
  </si>
  <si>
    <t>LineItems.Description</t>
  </si>
  <si>
    <t>{{FM}}</t>
  </si>
  <si>
    <t>#9</t>
  </si>
  <si>
    <t>LineItems.Custom1</t>
  </si>
  <si>
    <t>{{FK}}</t>
  </si>
  <si>
    <t>#10</t>
  </si>
  <si>
    <t>LineItems.Custom2</t>
  </si>
  <si>
    <t>{{FL}}</t>
  </si>
  <si>
    <t>#11</t>
  </si>
  <si>
    <t>明細コード</t>
  </si>
  <si>
    <t>LineItems.Custom4</t>
  </si>
  <si>
    <t>{{FE}}</t>
  </si>
  <si>
    <t>#12</t>
  </si>
  <si>
    <t>取引先コード</t>
  </si>
  <si>
    <t>VendorRemitToIdentifier.VendorCode</t>
  </si>
  <si>
    <t>0216_7008380001</t>
  </si>
  <si>
    <t>#13</t>
  </si>
  <si>
    <t>VendorRemitToIdentifier.AddressCode</t>
  </si>
  <si>
    <t>#14</t>
  </si>
  <si>
    <t>URL</t>
  </si>
  <si>
    <t>{{L}}</t>
  </si>
  <si>
    <t>#15</t>
  </si>
  <si>
    <t>請求書キー</t>
  </si>
  <si>
    <t>{{S}}</t>
  </si>
  <si>
    <t>#16</t>
  </si>
  <si>
    <t>電話番号</t>
  </si>
  <si>
    <t>{{J}}</t>
  </si>
  <si>
    <t>#17</t>
  </si>
  <si>
    <t>会社</t>
  </si>
  <si>
    <t>#18</t>
  </si>
  <si>
    <t>作業報告書添付確認</t>
  </si>
  <si>
    <t>Custom13</t>
  </si>
  <si>
    <t>{{FA}}</t>
  </si>
  <si>
    <t>#19</t>
  </si>
  <si>
    <t>登録番号なし</t>
  </si>
  <si>
    <t>{{ER}}</t>
  </si>
  <si>
    <t>#20</t>
  </si>
  <si>
    <t>備考（経理は非参照）</t>
  </si>
  <si>
    <t>Custom17</t>
  </si>
  <si>
    <t>#21</t>
  </si>
  <si>
    <t>OASYS発注書No</t>
  </si>
  <si>
    <t>DeliverySlipNumber</t>
  </si>
  <si>
    <t>{{EZ}}</t>
  </si>
  <si>
    <t>#22</t>
  </si>
  <si>
    <t>請求書No</t>
  </si>
  <si>
    <t>InvoiceNumber</t>
  </si>
  <si>
    <t>{{EU}}</t>
  </si>
  <si>
    <t>#23</t>
  </si>
  <si>
    <t>請求書代用書区分</t>
  </si>
  <si>
    <t>{{ET}}</t>
  </si>
  <si>
    <t>#24</t>
  </si>
  <si>
    <t>OrgUnit1</t>
  </si>
  <si>
    <t>#25</t>
  </si>
  <si>
    <t>所属組織（コード）</t>
  </si>
  <si>
    <t>#26</t>
  </si>
  <si>
    <t>消費税チェック項目（システム値）</t>
  </si>
  <si>
    <t>OrgUnit4</t>
  </si>
  <si>
    <t>{{EX}}</t>
  </si>
  <si>
    <t>#27</t>
  </si>
  <si>
    <t>依頼組織（コード値）</t>
  </si>
  <si>
    <t>OrgUnit5</t>
  </si>
  <si>
    <t>JA1014</t>
  </si>
  <si>
    <t>#28</t>
  </si>
  <si>
    <t>依頼者個人（コード値）</t>
  </si>
  <si>
    <t>OrgUnit6</t>
  </si>
  <si>
    <t>#29</t>
  </si>
  <si>
    <t>消費税額</t>
  </si>
  <si>
    <t>LineItems.VatAmount</t>
  </si>
  <si>
    <t>{{FH}}</t>
  </si>
  <si>
    <t>#30</t>
  </si>
  <si>
    <t>P納品日</t>
  </si>
  <si>
    <t>LineItems.Custom3</t>
  </si>
  <si>
    <t>{{FI}}</t>
  </si>
  <si>
    <t>#31</t>
  </si>
  <si>
    <t>開催年月日</t>
  </si>
  <si>
    <t>LineItems.Custom5</t>
  </si>
  <si>
    <t>#32</t>
  </si>
  <si>
    <t>宿泊数</t>
  </si>
  <si>
    <t>LineItems.Custom7</t>
  </si>
  <si>
    <t>#33</t>
  </si>
  <si>
    <t>費用負担組織（コード）</t>
  </si>
  <si>
    <t>LineItems.Custom9</t>
  </si>
  <si>
    <t>{{FF}}</t>
  </si>
  <si>
    <t>#34</t>
  </si>
  <si>
    <t>会場名・飲食店名</t>
  </si>
  <si>
    <t>LineItems.Custom11</t>
  </si>
  <si>
    <t>#35</t>
  </si>
  <si>
    <t>会場・飲食店所在地</t>
  </si>
  <si>
    <t>LineItems.Custom12</t>
  </si>
  <si>
    <t>#36</t>
  </si>
  <si>
    <t>ALL9内容記入欄</t>
  </si>
  <si>
    <t>LineItems.Custom13</t>
  </si>
  <si>
    <t>{{FJ}}</t>
  </si>
  <si>
    <t>#37</t>
  </si>
  <si>
    <t>立替</t>
  </si>
  <si>
    <t>LineItems.Custom15</t>
  </si>
  <si>
    <t>{{FD}}</t>
  </si>
  <si>
    <t>#38</t>
  </si>
  <si>
    <t>LineItems.Custom16</t>
  </si>
  <si>
    <t>#39</t>
  </si>
  <si>
    <t>負担組織</t>
  </si>
  <si>
    <t>LineItems.Allocations.Custom2</t>
  </si>
  <si>
    <t>#40</t>
  </si>
  <si>
    <t>会社_1</t>
  </si>
  <si>
    <t>LineItems.Allocations.Custom1</t>
  </si>
  <si>
    <t>#41</t>
  </si>
  <si>
    <t>LineItems.Allocations.Custom3</t>
  </si>
  <si>
    <t>#42</t>
  </si>
  <si>
    <t>LineItems.Allocations.Custom4</t>
  </si>
  <si>
    <t>{{FN}}</t>
  </si>
  <si>
    <t>#43</t>
  </si>
  <si>
    <t>LineItems.Allocations.Custom5</t>
  </si>
  <si>
    <t>#44</t>
  </si>
  <si>
    <t>LineItems.Allocations.Custom6</t>
  </si>
  <si>
    <t>#45</t>
  </si>
  <si>
    <t>LineItems.Allocations.Custom7</t>
  </si>
  <si>
    <t>#46</t>
  </si>
  <si>
    <t>LineItems.Allocations.Custom8</t>
  </si>
  <si>
    <t>#47</t>
  </si>
  <si>
    <t>LineItems.Allocations.Custom9</t>
  </si>
  <si>
    <t>{{GD}}</t>
  </si>
  <si>
    <t>#48</t>
  </si>
  <si>
    <t>LineItems.Allocations.Custom10</t>
  </si>
  <si>
    <t>{{FO}}</t>
  </si>
  <si>
    <t>#49</t>
  </si>
  <si>
    <t>LineItems.Allocations.Custom11</t>
  </si>
  <si>
    <t>#50</t>
  </si>
  <si>
    <t>会社_2</t>
  </si>
  <si>
    <t>LineItems.Allocations.Custom12</t>
  </si>
  <si>
    <t>#51</t>
  </si>
  <si>
    <t>LineItems.Allocations.Custom13</t>
  </si>
  <si>
    <t>#52</t>
  </si>
  <si>
    <t>LineItems.Allocations.Custom14</t>
  </si>
  <si>
    <t>{{FP}}</t>
  </si>
  <si>
    <t>#53</t>
  </si>
  <si>
    <t>LineItems.Allocations.Custom15</t>
  </si>
  <si>
    <t>#54</t>
  </si>
  <si>
    <t>LineItems.Allocations.Custom19</t>
  </si>
  <si>
    <t>#55</t>
  </si>
  <si>
    <t>%値</t>
  </si>
  <si>
    <t>LineItems.Allocations.Percentage</t>
  </si>
  <si>
    <t>#56</t>
  </si>
  <si>
    <t>原価フラグ</t>
  </si>
  <si>
    <t>{{GC}}</t>
  </si>
  <si>
    <t>#57</t>
  </si>
  <si>
    <t>明細No</t>
  </si>
  <si>
    <t>RowType</t>
  </si>
  <si>
    <t>{{N}}</t>
  </si>
  <si>
    <t>#58</t>
  </si>
  <si>
    <t>ktbnURL1</t>
  </si>
  <si>
    <t>{{AN}}</t>
  </si>
  <si>
    <t>#59</t>
  </si>
  <si>
    <t>ktbnURL2</t>
  </si>
  <si>
    <t>{{AO}}</t>
  </si>
  <si>
    <t>#60</t>
  </si>
  <si>
    <t>ktbnURL3</t>
  </si>
  <si>
    <t>{{AP}}</t>
  </si>
  <si>
    <t>#61</t>
  </si>
  <si>
    <t>ktbnURL4</t>
  </si>
  <si>
    <t>{{AQ}}</t>
  </si>
  <si>
    <t>サンプル値</t>
    <rPh sb="4" eb="5">
      <t>アタイ</t>
    </rPh>
    <phoneticPr fontId="1"/>
  </si>
  <si>
    <t>SK101701_Fabeee</t>
  </si>
  <si>
    <t>704201/タブルーム運用費</t>
  </si>
  <si>
    <t>Must/Want</t>
    <phoneticPr fontId="1"/>
  </si>
  <si>
    <t>M</t>
    <phoneticPr fontId="1"/>
  </si>
  <si>
    <r>
      <t>2026/4/1</t>
    </r>
    <r>
      <rPr>
        <sz val="10"/>
        <color theme="1"/>
        <rFont val="ＭＳ Ｐゴシック"/>
        <family val="2"/>
        <charset val="128"/>
      </rPr>
      <t>（当日日付）</t>
    </r>
    <rPh sb="9" eb="11">
      <t>トウジツ</t>
    </rPh>
    <rPh sb="11" eb="13">
      <t>ヒヅケ</t>
    </rPh>
    <phoneticPr fontId="1"/>
  </si>
  <si>
    <t>0216_0383146396</t>
  </si>
  <si>
    <t>099</t>
    <phoneticPr fontId="1"/>
  </si>
  <si>
    <r>
      <rPr>
        <sz val="10"/>
        <color theme="1"/>
        <rFont val="游ゴシック"/>
        <family val="2"/>
        <charset val="128"/>
      </rPr>
      <t>値は</t>
    </r>
    <r>
      <rPr>
        <sz val="10"/>
        <color theme="1"/>
        <rFont val="Arial"/>
        <family val="2"/>
      </rPr>
      <t>NULL</t>
    </r>
    <r>
      <rPr>
        <sz val="10"/>
        <color theme="1"/>
        <rFont val="ＭＳ Ｐゴシック"/>
        <family val="2"/>
        <charset val="128"/>
      </rPr>
      <t>もあり</t>
    </r>
    <rPh sb="0" eb="1">
      <t>アタイ</t>
    </rPh>
    <phoneticPr fontId="1"/>
  </si>
  <si>
    <t>https://drive.google.com/file/d/1EKeiejM5AO_JDlRTPbB1vPPimFkwRG3k/view?usp=drivesdk</t>
  </si>
  <si>
    <t>SA704201-20251126-153105</t>
  </si>
  <si>
    <t>管理表CD="SA","SG","SI","SK"の場合、"'070-3329-9798"（固定値）
上記以外の場合、"090-9848-2794"（固定値）</t>
    <phoneticPr fontId="1"/>
  </si>
  <si>
    <t>W</t>
    <phoneticPr fontId="1"/>
  </si>
  <si>
    <t>0216</t>
    <phoneticPr fontId="1"/>
  </si>
  <si>
    <r>
      <rPr>
        <sz val="10"/>
        <color theme="1"/>
        <rFont val="游ゴシック"/>
        <family val="2"/>
        <charset val="128"/>
      </rPr>
      <t>固定値で全て入れてる</t>
    </r>
    <rPh sb="0" eb="3">
      <t>コテイチ</t>
    </rPh>
    <rPh sb="4" eb="5">
      <t>スベ</t>
    </rPh>
    <rPh sb="6" eb="7">
      <t>イ</t>
    </rPh>
    <phoneticPr fontId="1"/>
  </si>
  <si>
    <t>1. 添付対象外である</t>
  </si>
  <si>
    <t>Yes</t>
  </si>
  <si>
    <r>
      <rPr>
        <sz val="10"/>
        <color theme="1"/>
        <rFont val="游ゴシック"/>
        <family val="2"/>
        <charset val="128"/>
      </rPr>
      <t>なし</t>
    </r>
    <phoneticPr fontId="1"/>
  </si>
  <si>
    <t>SS660924496</t>
  </si>
  <si>
    <t>BB25KCL00031</t>
  </si>
  <si>
    <t>請求書代用書</t>
  </si>
  <si>
    <t>Y/N</t>
  </si>
  <si>
    <t>Y</t>
    <phoneticPr fontId="1"/>
  </si>
  <si>
    <t>a.税抜きの合意金額に適切な消費税額が上乗せされ請求されている</t>
  </si>
  <si>
    <t>a</t>
    <phoneticPr fontId="1"/>
  </si>
  <si>
    <t>{{FF}}</t>
    <phoneticPr fontId="1"/>
  </si>
  <si>
    <t>GD2637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</si>
</sst>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0"/>
      <color theme="1"/>
      <name val="Arial"/>
      <family val="2"/>
    </font>
    <font>
      <sz val="10"/>
      <color theme="1"/>
      <name val="ＭＳ Ｐゴシック"/>
      <family val="2"/>
      <charset val="128"/>
    </font>
    <font>
      <sz val="10"/>
      <color theme="1"/>
      <name val="游ゴシック"/>
      <family val="2"/>
      <charset val="128"/>
    </font>
    <font>
      <sz val="10"/>
      <color theme="1"/>
      <name val="Arial"/>
      <family val="2"/>
      <charset val="128"/>
    </font>
    <font>
      <u/>
      <sz val="11"/>
      <color theme="10"/>
      <name val="游ゴシック"/>
      <family val="2"/>
      <charset val="128"/>
      <scheme val="minor"/>
    </font>
    <font>
      <sz val="9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D2E9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14" fontId="3" fillId="0" borderId="1" xfId="0" applyNumberFormat="1" applyFont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0" borderId="0" xfId="0" applyFont="1">
      <alignment vertical="center"/>
    </xf>
    <xf numFmtId="0" fontId="3" fillId="4" borderId="1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3" fontId="3" fillId="0" borderId="0" xfId="0" applyNumberFormat="1" applyFont="1">
      <alignment vertical="center"/>
    </xf>
    <xf numFmtId="14" fontId="3" fillId="0" borderId="0" xfId="0" applyNumberFormat="1" applyFont="1">
      <alignment vertical="center"/>
    </xf>
    <xf numFmtId="0" fontId="3" fillId="2" borderId="2" xfId="0" applyFont="1" applyFill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2" xfId="0" applyFont="1" applyBorder="1" applyAlignment="1">
      <alignment wrapText="1"/>
    </xf>
    <xf numFmtId="49" fontId="0" fillId="0" borderId="0" xfId="0" applyNumberFormat="1">
      <alignment vertical="center"/>
    </xf>
    <xf numFmtId="0" fontId="6" fillId="0" borderId="3" xfId="0" applyFont="1" applyBorder="1" applyAlignment="1">
      <alignment wrapText="1"/>
    </xf>
    <xf numFmtId="0" fontId="3" fillId="0" borderId="0" xfId="0" applyFont="1" applyAlignment="1">
      <alignment wrapText="1"/>
    </xf>
    <xf numFmtId="0" fontId="7" fillId="0" borderId="0" xfId="1">
      <alignment vertical="center"/>
    </xf>
    <xf numFmtId="0" fontId="3" fillId="3" borderId="0" xfId="0" applyFont="1" applyFill="1" applyAlignment="1">
      <alignment wrapText="1"/>
    </xf>
    <xf numFmtId="0" fontId="8" fillId="0" borderId="0" xfId="0" applyFont="1">
      <alignment vertical="center"/>
    </xf>
    <xf numFmtId="0" fontId="3" fillId="4" borderId="4" xfId="0" applyFont="1" applyFill="1" applyBorder="1" applyAlignment="1">
      <alignment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EKeiejM5AO_JDlRTPbB1vPPimFkwRG3k/view?usp=drives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14BC6-0EA7-458E-8735-7C5784CEDCFC}">
  <sheetPr codeName="Sheet1"/>
  <dimension ref="A1:G27"/>
  <sheetViews>
    <sheetView workbookViewId="0"/>
  </sheetViews>
  <sheetFormatPr defaultRowHeight="18" x14ac:dyDescent="0.55000000000000004"/>
  <cols>
    <col min="1" max="1" width="8.08203125" bestFit="1" customWidth="1"/>
    <col min="2" max="2" width="56.25" customWidth="1"/>
    <col min="3" max="3" width="8.5" bestFit="1" customWidth="1"/>
    <col min="4" max="4" width="10.25" bestFit="1" customWidth="1"/>
    <col min="5" max="5" width="26" bestFit="1" customWidth="1"/>
    <col min="6" max="6" width="14.33203125" bestFit="1" customWidth="1"/>
    <col min="7" max="7" width="61.1640625" customWidth="1"/>
  </cols>
  <sheetData>
    <row r="1" spans="1:7" x14ac:dyDescent="0.55000000000000004">
      <c r="A1" t="s">
        <v>0</v>
      </c>
      <c r="B1" t="s">
        <v>3</v>
      </c>
      <c r="C1" t="s">
        <v>2</v>
      </c>
      <c r="D1" t="s">
        <v>15</v>
      </c>
      <c r="E1" t="s">
        <v>4</v>
      </c>
      <c r="F1" t="s">
        <v>8</v>
      </c>
      <c r="G1" t="s">
        <v>7</v>
      </c>
    </row>
    <row r="2" spans="1:7" ht="72" x14ac:dyDescent="0.55000000000000004">
      <c r="A2" s="1">
        <f>ROW()-1</f>
        <v>1</v>
      </c>
      <c r="B2" s="1" t="s">
        <v>6</v>
      </c>
      <c r="C2" s="1" t="s">
        <v>1</v>
      </c>
      <c r="D2" s="1" t="s">
        <v>16</v>
      </c>
      <c r="E2" s="1" t="s">
        <v>5</v>
      </c>
      <c r="F2" s="1" t="s">
        <v>45</v>
      </c>
      <c r="G2" s="1" t="s">
        <v>10</v>
      </c>
    </row>
    <row r="3" spans="1:7" ht="36" x14ac:dyDescent="0.55000000000000004">
      <c r="A3" s="1">
        <f t="shared" ref="A3:A11" si="0">ROW()-1</f>
        <v>2</v>
      </c>
      <c r="B3" s="1" t="s">
        <v>13</v>
      </c>
      <c r="C3" s="1" t="s">
        <v>9</v>
      </c>
      <c r="D3" s="1" t="s">
        <v>28</v>
      </c>
      <c r="E3" s="1" t="s">
        <v>12</v>
      </c>
      <c r="F3" s="1" t="s">
        <v>46</v>
      </c>
      <c r="G3" s="1" t="s">
        <v>20</v>
      </c>
    </row>
    <row r="4" spans="1:7" ht="36" x14ac:dyDescent="0.55000000000000004">
      <c r="A4" s="1">
        <f t="shared" si="0"/>
        <v>3</v>
      </c>
      <c r="B4" s="1" t="s">
        <v>11</v>
      </c>
      <c r="C4" s="1" t="s">
        <v>9</v>
      </c>
      <c r="D4" s="1" t="s">
        <v>29</v>
      </c>
      <c r="E4" s="1" t="s">
        <v>12</v>
      </c>
      <c r="F4" s="1" t="s">
        <v>47</v>
      </c>
      <c r="G4" s="1" t="s">
        <v>21</v>
      </c>
    </row>
    <row r="5" spans="1:7" ht="54" x14ac:dyDescent="0.55000000000000004">
      <c r="A5" s="1">
        <f t="shared" si="0"/>
        <v>4</v>
      </c>
      <c r="B5" s="1" t="s">
        <v>14</v>
      </c>
      <c r="C5" s="1" t="s">
        <v>9</v>
      </c>
      <c r="D5" s="1" t="s">
        <v>30</v>
      </c>
      <c r="E5" s="1" t="s">
        <v>12</v>
      </c>
      <c r="F5" s="1" t="s">
        <v>48</v>
      </c>
      <c r="G5" s="1" t="s">
        <v>22</v>
      </c>
    </row>
    <row r="6" spans="1:7" ht="36" x14ac:dyDescent="0.55000000000000004">
      <c r="A6" s="1">
        <f t="shared" si="0"/>
        <v>5</v>
      </c>
      <c r="B6" s="1" t="s">
        <v>18</v>
      </c>
      <c r="C6" s="1" t="s">
        <v>9</v>
      </c>
      <c r="D6" s="1" t="s">
        <v>31</v>
      </c>
      <c r="E6" s="1" t="s">
        <v>12</v>
      </c>
      <c r="F6" s="1" t="s">
        <v>49</v>
      </c>
      <c r="G6" s="1" t="s">
        <v>23</v>
      </c>
    </row>
    <row r="7" spans="1:7" ht="54" x14ac:dyDescent="0.55000000000000004">
      <c r="A7" s="1">
        <f t="shared" si="0"/>
        <v>6</v>
      </c>
      <c r="B7" s="1" t="s">
        <v>25</v>
      </c>
      <c r="C7" s="1" t="s">
        <v>9</v>
      </c>
      <c r="D7" s="1" t="s">
        <v>32</v>
      </c>
      <c r="E7" s="1" t="s">
        <v>26</v>
      </c>
      <c r="F7" s="1" t="s">
        <v>50</v>
      </c>
      <c r="G7" s="1" t="s">
        <v>27</v>
      </c>
    </row>
    <row r="8" spans="1:7" ht="36" x14ac:dyDescent="0.55000000000000004">
      <c r="A8" s="1">
        <f t="shared" si="0"/>
        <v>7</v>
      </c>
      <c r="B8" s="1" t="s">
        <v>19</v>
      </c>
      <c r="C8" s="1" t="s">
        <v>9</v>
      </c>
      <c r="D8" s="1" t="s">
        <v>33</v>
      </c>
      <c r="E8" s="1" t="s">
        <v>38</v>
      </c>
      <c r="F8" s="1" t="s">
        <v>46</v>
      </c>
      <c r="G8" s="1" t="s">
        <v>24</v>
      </c>
    </row>
    <row r="9" spans="1:7" ht="72" x14ac:dyDescent="0.55000000000000004">
      <c r="A9" s="1">
        <f t="shared" si="0"/>
        <v>8</v>
      </c>
      <c r="B9" s="1" t="s">
        <v>37</v>
      </c>
      <c r="C9" s="1" t="s">
        <v>9</v>
      </c>
      <c r="D9" s="1" t="s">
        <v>34</v>
      </c>
      <c r="E9" s="1" t="s">
        <v>38</v>
      </c>
      <c r="F9" s="1" t="s">
        <v>51</v>
      </c>
      <c r="G9" s="1" t="s">
        <v>39</v>
      </c>
    </row>
    <row r="10" spans="1:7" ht="72" x14ac:dyDescent="0.55000000000000004">
      <c r="A10" s="1">
        <f t="shared" si="0"/>
        <v>9</v>
      </c>
      <c r="B10" s="1" t="s">
        <v>40</v>
      </c>
      <c r="C10" s="1" t="s">
        <v>9</v>
      </c>
      <c r="D10" s="1" t="s">
        <v>35</v>
      </c>
      <c r="E10" s="1" t="s">
        <v>38</v>
      </c>
      <c r="F10" s="1" t="s">
        <v>52</v>
      </c>
      <c r="G10" s="1" t="s">
        <v>41</v>
      </c>
    </row>
    <row r="11" spans="1:7" ht="54" x14ac:dyDescent="0.55000000000000004">
      <c r="A11" s="1">
        <f t="shared" si="0"/>
        <v>10</v>
      </c>
      <c r="B11" s="1" t="s">
        <v>42</v>
      </c>
      <c r="C11" s="1" t="s">
        <v>9</v>
      </c>
      <c r="D11" s="1" t="s">
        <v>36</v>
      </c>
      <c r="E11" s="1" t="s">
        <v>43</v>
      </c>
      <c r="F11" s="1" t="s">
        <v>53</v>
      </c>
      <c r="G11" s="1" t="s">
        <v>44</v>
      </c>
    </row>
    <row r="12" spans="1:7" x14ac:dyDescent="0.55000000000000004">
      <c r="A12" s="1"/>
      <c r="B12" s="1"/>
      <c r="C12" s="1"/>
      <c r="D12" s="1"/>
      <c r="E12" s="1"/>
      <c r="F12" s="1"/>
      <c r="G12" s="1"/>
    </row>
    <row r="13" spans="1:7" x14ac:dyDescent="0.55000000000000004">
      <c r="A13" s="1"/>
      <c r="B13" s="1"/>
      <c r="C13" s="1"/>
      <c r="D13" s="1"/>
      <c r="E13" s="1"/>
      <c r="F13" s="1"/>
      <c r="G13" s="1"/>
    </row>
    <row r="14" spans="1:7" x14ac:dyDescent="0.55000000000000004">
      <c r="A14" s="1"/>
      <c r="B14" s="1"/>
      <c r="C14" s="1"/>
      <c r="D14" s="1"/>
      <c r="E14" s="1"/>
      <c r="F14" s="1"/>
      <c r="G14" s="1"/>
    </row>
    <row r="15" spans="1:7" x14ac:dyDescent="0.55000000000000004">
      <c r="A15" s="1"/>
      <c r="B15" s="1"/>
      <c r="C15" s="1"/>
      <c r="D15" s="1"/>
      <c r="E15" s="1"/>
      <c r="F15" s="1"/>
      <c r="G15" s="1"/>
    </row>
    <row r="16" spans="1:7" x14ac:dyDescent="0.55000000000000004">
      <c r="A16" s="1"/>
      <c r="B16" s="1"/>
      <c r="C16" s="1"/>
      <c r="D16" s="1"/>
      <c r="E16" s="1"/>
      <c r="F16" s="1"/>
      <c r="G16" s="1"/>
    </row>
    <row r="17" spans="1:7" x14ac:dyDescent="0.55000000000000004">
      <c r="A17" s="1"/>
      <c r="B17" s="1"/>
      <c r="C17" s="1"/>
      <c r="D17" s="1"/>
      <c r="E17" s="1"/>
      <c r="F17" s="1"/>
      <c r="G17" s="1"/>
    </row>
    <row r="18" spans="1:7" x14ac:dyDescent="0.55000000000000004">
      <c r="A18" s="1"/>
      <c r="B18" s="1"/>
      <c r="C18" s="1"/>
      <c r="D18" s="1"/>
      <c r="E18" s="1"/>
      <c r="F18" s="1"/>
      <c r="G18" s="1"/>
    </row>
    <row r="19" spans="1:7" x14ac:dyDescent="0.55000000000000004">
      <c r="A19" s="1"/>
      <c r="B19" s="1"/>
      <c r="C19" s="1"/>
      <c r="D19" s="1"/>
      <c r="E19" s="1"/>
      <c r="F19" s="1"/>
      <c r="G19" s="1"/>
    </row>
    <row r="20" spans="1:7" x14ac:dyDescent="0.55000000000000004">
      <c r="A20" s="1"/>
      <c r="B20" s="1"/>
      <c r="C20" s="1"/>
      <c r="D20" s="1"/>
      <c r="E20" s="1"/>
      <c r="F20" s="1"/>
      <c r="G20" s="1"/>
    </row>
    <row r="21" spans="1:7" x14ac:dyDescent="0.55000000000000004">
      <c r="A21" s="1"/>
      <c r="B21" s="1"/>
      <c r="C21" s="1"/>
      <c r="D21" s="1"/>
      <c r="E21" s="1"/>
      <c r="F21" s="1"/>
      <c r="G21" s="1"/>
    </row>
    <row r="22" spans="1:7" x14ac:dyDescent="0.55000000000000004">
      <c r="A22" s="1"/>
      <c r="B22" s="1"/>
      <c r="C22" s="1"/>
      <c r="D22" s="1"/>
      <c r="E22" s="1"/>
      <c r="F22" s="1"/>
      <c r="G22" s="1"/>
    </row>
    <row r="23" spans="1:7" x14ac:dyDescent="0.55000000000000004">
      <c r="A23" s="1"/>
      <c r="B23" s="1"/>
      <c r="C23" s="1"/>
      <c r="D23" s="1"/>
      <c r="E23" s="1"/>
      <c r="F23" s="1"/>
      <c r="G23" s="1"/>
    </row>
    <row r="24" spans="1:7" x14ac:dyDescent="0.55000000000000004">
      <c r="A24" s="1"/>
      <c r="B24" s="1"/>
      <c r="C24" s="1"/>
      <c r="D24" s="1"/>
      <c r="E24" s="1"/>
      <c r="F24" s="1"/>
      <c r="G24" s="1"/>
    </row>
    <row r="25" spans="1:7" x14ac:dyDescent="0.55000000000000004">
      <c r="A25" s="1"/>
      <c r="B25" s="1"/>
      <c r="C25" s="1"/>
      <c r="D25" s="1"/>
      <c r="E25" s="1"/>
      <c r="F25" s="1"/>
      <c r="G25" s="1"/>
    </row>
    <row r="26" spans="1:7" x14ac:dyDescent="0.55000000000000004">
      <c r="A26" s="1"/>
      <c r="B26" s="1"/>
      <c r="C26" s="1"/>
      <c r="D26" s="1"/>
      <c r="E26" s="1"/>
      <c r="F26" s="1"/>
      <c r="G26" s="1"/>
    </row>
    <row r="27" spans="1:7" x14ac:dyDescent="0.55000000000000004">
      <c r="A27" s="1"/>
      <c r="B27" s="1"/>
      <c r="C27" s="1"/>
      <c r="D27" s="1"/>
      <c r="E27" s="1"/>
      <c r="F27" s="1"/>
      <c r="G27" s="1"/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C8549-1E0A-40B7-A2C3-06A8DC9C4541}">
  <sheetPr codeName="Sheet3"/>
  <dimension ref="A1:BO14"/>
  <sheetViews>
    <sheetView zoomScale="85" zoomScaleNormal="85" workbookViewId="0">
      <selection activeCell="J2" sqref="J2"/>
    </sheetView>
  </sheetViews>
  <sheetFormatPr defaultRowHeight="18" x14ac:dyDescent="0.55000000000000004"/>
  <cols>
    <col min="1" max="1" width="13.25" bestFit="1" customWidth="1"/>
    <col min="2" max="2" width="21.83203125" bestFit="1" customWidth="1"/>
    <col min="3" max="3" width="20.75" bestFit="1" customWidth="1"/>
    <col min="4" max="4" width="16.75" bestFit="1" customWidth="1"/>
    <col min="5" max="6" width="12.75" bestFit="1" customWidth="1"/>
    <col min="7" max="7" width="12.4140625" bestFit="1" customWidth="1"/>
    <col min="8" max="8" width="9.58203125" bestFit="1" customWidth="1"/>
    <col min="9" max="9" width="9.08203125" bestFit="1" customWidth="1"/>
    <col min="10" max="10" width="10.6640625" bestFit="1" customWidth="1"/>
    <col min="11" max="11" width="9.08203125" bestFit="1" customWidth="1"/>
    <col min="12" max="14" width="10.1640625" bestFit="1" customWidth="1"/>
    <col min="15" max="15" width="18" bestFit="1" customWidth="1"/>
    <col min="16" max="16" width="8.75" bestFit="1" customWidth="1"/>
    <col min="17" max="17" width="14.1640625" bestFit="1" customWidth="1"/>
    <col min="18" max="18" width="11.4140625" bestFit="1" customWidth="1"/>
    <col min="19" max="21" width="10.6640625" bestFit="1" customWidth="1"/>
    <col min="22" max="22" width="12.5" bestFit="1" customWidth="1"/>
    <col min="23" max="23" width="16.6640625" bestFit="1" customWidth="1"/>
    <col min="24" max="24" width="10.6640625" bestFit="1" customWidth="1"/>
    <col min="25" max="25" width="22.75" bestFit="1" customWidth="1"/>
    <col min="26" max="26" width="10.6640625" bestFit="1" customWidth="1"/>
    <col min="27" max="27" width="18.75" bestFit="1" customWidth="1"/>
    <col min="28" max="28" width="12.75" bestFit="1" customWidth="1"/>
    <col min="29" max="29" width="20.75" bestFit="1" customWidth="1"/>
    <col min="30" max="30" width="19" bestFit="1" customWidth="1"/>
    <col min="31" max="31" width="14.6640625" bestFit="1" customWidth="1"/>
    <col min="32" max="32" width="22.1640625" bestFit="1" customWidth="1"/>
    <col min="33" max="33" width="18.75" bestFit="1" customWidth="1"/>
    <col min="34" max="34" width="32.6640625" bestFit="1" customWidth="1"/>
    <col min="35" max="35" width="20.75" bestFit="1" customWidth="1"/>
    <col min="36" max="36" width="22.75" bestFit="1" customWidth="1"/>
    <col min="37" max="37" width="13.08203125" bestFit="1" customWidth="1"/>
    <col min="38" max="38" width="9.08203125" bestFit="1" customWidth="1"/>
    <col min="39" max="39" width="22.75" bestFit="1" customWidth="1"/>
    <col min="40" max="40" width="10.1640625" bestFit="1" customWidth="1"/>
    <col min="41" max="41" width="11" bestFit="1" customWidth="1"/>
    <col min="42" max="42" width="10.6640625" bestFit="1" customWidth="1"/>
    <col min="43" max="43" width="9.08203125" bestFit="1" customWidth="1"/>
    <col min="44" max="44" width="16.75" bestFit="1" customWidth="1"/>
    <col min="45" max="45" width="18.75" bestFit="1" customWidth="1"/>
    <col min="46" max="46" width="15.5" bestFit="1" customWidth="1"/>
    <col min="47" max="47" width="9.08203125" bestFit="1" customWidth="1"/>
    <col min="48" max="48" width="10.1640625" bestFit="1" customWidth="1"/>
    <col min="49" max="49" width="17.08203125" bestFit="1" customWidth="1"/>
    <col min="50" max="50" width="21.08203125" bestFit="1" customWidth="1"/>
    <col min="51" max="51" width="10.1640625" bestFit="1" customWidth="1"/>
    <col min="52" max="52" width="21.08203125" bestFit="1" customWidth="1"/>
    <col min="53" max="53" width="9.58203125" bestFit="1" customWidth="1"/>
    <col min="54" max="54" width="22.25" bestFit="1" customWidth="1"/>
    <col min="55" max="55" width="10.6640625" bestFit="1" customWidth="1"/>
    <col min="56" max="56" width="16.75" bestFit="1" customWidth="1"/>
    <col min="57" max="58" width="12.75" bestFit="1" customWidth="1"/>
    <col min="59" max="59" width="10.1640625" bestFit="1" customWidth="1"/>
    <col min="60" max="60" width="14.1640625" bestFit="1" customWidth="1"/>
    <col min="61" max="61" width="11.4140625" bestFit="1" customWidth="1"/>
    <col min="62" max="62" width="10.58203125" bestFit="1" customWidth="1"/>
    <col min="63" max="63" width="10.6640625" bestFit="1" customWidth="1"/>
    <col min="64" max="64" width="18.75" bestFit="1" customWidth="1"/>
    <col min="65" max="65" width="28.83203125" bestFit="1" customWidth="1"/>
    <col min="66" max="67" width="16.75" bestFit="1" customWidth="1"/>
  </cols>
  <sheetData>
    <row r="1" spans="1:67" x14ac:dyDescent="0.55000000000000004">
      <c r="C1" t="s">
        <v>168</v>
      </c>
      <c r="O1" t="s">
        <v>169</v>
      </c>
      <c r="W1" t="s">
        <v>56</v>
      </c>
      <c r="Z1" t="s">
        <v>57</v>
      </c>
      <c r="AL1" t="s">
        <v>55</v>
      </c>
      <c r="AP1" t="s">
        <v>58</v>
      </c>
      <c r="AU1" t="s">
        <v>59</v>
      </c>
      <c r="BJ1" t="s">
        <v>54</v>
      </c>
    </row>
    <row r="2" spans="1:67" x14ac:dyDescent="0.55000000000000004">
      <c r="B2" t="s">
        <v>116</v>
      </c>
      <c r="C2" t="s">
        <v>60</v>
      </c>
      <c r="D2" t="s">
        <v>61</v>
      </c>
      <c r="E2" t="s">
        <v>62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M2" t="s">
        <v>70</v>
      </c>
      <c r="N2" t="s">
        <v>71</v>
      </c>
      <c r="O2" t="s">
        <v>72</v>
      </c>
      <c r="Q2" t="s">
        <v>73</v>
      </c>
      <c r="R2" t="s">
        <v>74</v>
      </c>
      <c r="S2" t="s">
        <v>75</v>
      </c>
      <c r="T2" t="s">
        <v>76</v>
      </c>
      <c r="U2" t="s">
        <v>77</v>
      </c>
      <c r="V2" t="s">
        <v>136</v>
      </c>
      <c r="W2" t="s">
        <v>78</v>
      </c>
      <c r="X2" t="s">
        <v>79</v>
      </c>
      <c r="Y2" t="s">
        <v>175</v>
      </c>
      <c r="Z2" t="s">
        <v>80</v>
      </c>
      <c r="AA2" t="s">
        <v>81</v>
      </c>
      <c r="AB2" t="s">
        <v>82</v>
      </c>
      <c r="AC2" t="s">
        <v>83</v>
      </c>
      <c r="AD2" t="s">
        <v>84</v>
      </c>
      <c r="AE2" t="s">
        <v>85</v>
      </c>
      <c r="AF2" t="s">
        <v>86</v>
      </c>
      <c r="AG2" t="s">
        <v>87</v>
      </c>
      <c r="AH2" t="s">
        <v>88</v>
      </c>
      <c r="AI2" t="s">
        <v>89</v>
      </c>
      <c r="AJ2" t="s">
        <v>90</v>
      </c>
      <c r="AK2" t="s">
        <v>91</v>
      </c>
      <c r="AL2" t="s">
        <v>92</v>
      </c>
      <c r="AM2" t="s">
        <v>93</v>
      </c>
      <c r="AN2" t="s">
        <v>94</v>
      </c>
      <c r="AO2" t="s">
        <v>95</v>
      </c>
      <c r="AP2" t="s">
        <v>96</v>
      </c>
      <c r="AQ2" t="s">
        <v>97</v>
      </c>
      <c r="AR2" t="s">
        <v>98</v>
      </c>
      <c r="AS2" t="s">
        <v>99</v>
      </c>
      <c r="AT2" t="s">
        <v>100</v>
      </c>
      <c r="AU2" t="s">
        <v>101</v>
      </c>
      <c r="AV2" t="s">
        <v>102</v>
      </c>
      <c r="AW2" t="s">
        <v>103</v>
      </c>
      <c r="AX2" t="s">
        <v>104</v>
      </c>
      <c r="AY2" t="s">
        <v>105</v>
      </c>
      <c r="AZ2" t="s">
        <v>106</v>
      </c>
      <c r="BA2" t="s">
        <v>107</v>
      </c>
      <c r="BB2" t="s">
        <v>108</v>
      </c>
      <c r="BC2" t="s">
        <v>109</v>
      </c>
      <c r="BD2" t="s">
        <v>110</v>
      </c>
      <c r="BE2" t="s">
        <v>111</v>
      </c>
      <c r="BF2" t="s">
        <v>112</v>
      </c>
      <c r="BG2" t="s">
        <v>113</v>
      </c>
      <c r="BH2" t="s">
        <v>114</v>
      </c>
      <c r="BI2" t="s">
        <v>115</v>
      </c>
      <c r="BJ2" t="s">
        <v>78</v>
      </c>
      <c r="BK2" t="s">
        <v>79</v>
      </c>
      <c r="BL2" t="s">
        <v>170</v>
      </c>
      <c r="BM2" t="s">
        <v>171</v>
      </c>
      <c r="BN2" t="s">
        <v>172</v>
      </c>
      <c r="BO2" t="s">
        <v>173</v>
      </c>
    </row>
    <row r="3" spans="1:67" x14ac:dyDescent="0.55000000000000004">
      <c r="A3" t="s">
        <v>167</v>
      </c>
      <c r="B3" t="s">
        <v>174</v>
      </c>
      <c r="C3" t="s">
        <v>117</v>
      </c>
      <c r="D3" t="s">
        <v>118</v>
      </c>
      <c r="E3" t="s">
        <v>119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128</v>
      </c>
      <c r="O3" t="s">
        <v>129</v>
      </c>
      <c r="P3" t="s">
        <v>130</v>
      </c>
      <c r="Q3" t="s">
        <v>131</v>
      </c>
      <c r="R3" t="s">
        <v>132</v>
      </c>
      <c r="S3" t="s">
        <v>133</v>
      </c>
      <c r="T3" t="s">
        <v>134</v>
      </c>
      <c r="U3" t="s">
        <v>135</v>
      </c>
      <c r="V3" t="s">
        <v>174</v>
      </c>
      <c r="W3" t="s">
        <v>137</v>
      </c>
      <c r="X3" t="s">
        <v>138</v>
      </c>
      <c r="Y3" t="s">
        <v>174</v>
      </c>
      <c r="Z3" t="s">
        <v>139</v>
      </c>
      <c r="AA3" t="s">
        <v>140</v>
      </c>
      <c r="AB3" t="s">
        <v>141</v>
      </c>
      <c r="AC3" t="s">
        <v>142</v>
      </c>
      <c r="AD3" t="s">
        <v>143</v>
      </c>
      <c r="AE3" t="s">
        <v>144</v>
      </c>
      <c r="AF3" t="s">
        <v>145</v>
      </c>
      <c r="AG3" t="s">
        <v>146</v>
      </c>
      <c r="AH3" t="s">
        <v>147</v>
      </c>
      <c r="AI3" t="s">
        <v>148</v>
      </c>
      <c r="AJ3" t="s">
        <v>149</v>
      </c>
      <c r="AK3" t="s">
        <v>150</v>
      </c>
      <c r="AL3" t="s">
        <v>151</v>
      </c>
      <c r="AM3" t="s">
        <v>152</v>
      </c>
      <c r="AN3" t="s">
        <v>153</v>
      </c>
      <c r="AO3" t="s">
        <v>154</v>
      </c>
      <c r="AP3" t="s">
        <v>155</v>
      </c>
      <c r="AQ3" t="s">
        <v>156</v>
      </c>
      <c r="AR3" t="s">
        <v>157</v>
      </c>
      <c r="AS3" t="s">
        <v>158</v>
      </c>
      <c r="AT3" t="s">
        <v>140</v>
      </c>
      <c r="AU3" t="s">
        <v>134</v>
      </c>
      <c r="AV3" t="s">
        <v>159</v>
      </c>
      <c r="AW3" t="s">
        <v>135</v>
      </c>
      <c r="AX3" t="s">
        <v>123</v>
      </c>
      <c r="AY3" t="s">
        <v>160</v>
      </c>
      <c r="AZ3" t="s">
        <v>161</v>
      </c>
      <c r="BA3" t="s">
        <v>125</v>
      </c>
      <c r="BB3" t="s">
        <v>162</v>
      </c>
      <c r="BC3" t="s">
        <v>126</v>
      </c>
      <c r="BD3" t="s">
        <v>127</v>
      </c>
      <c r="BE3" t="s">
        <v>140</v>
      </c>
      <c r="BF3" t="s">
        <v>163</v>
      </c>
      <c r="BG3" t="s">
        <v>164</v>
      </c>
      <c r="BH3" t="s">
        <v>165</v>
      </c>
      <c r="BI3" t="s">
        <v>166</v>
      </c>
      <c r="BJ3" t="s">
        <v>174</v>
      </c>
      <c r="BK3" t="s">
        <v>174</v>
      </c>
      <c r="BL3" t="s">
        <v>174</v>
      </c>
      <c r="BM3" t="s">
        <v>174</v>
      </c>
      <c r="BN3" t="s">
        <v>174</v>
      </c>
      <c r="BO3" t="s">
        <v>174</v>
      </c>
    </row>
    <row r="4" spans="1:67" x14ac:dyDescent="0.55000000000000004">
      <c r="A4" t="s">
        <v>16</v>
      </c>
      <c r="B4" s="2" t="s">
        <v>176</v>
      </c>
      <c r="C4" s="2" t="s">
        <v>176</v>
      </c>
      <c r="D4" s="2" t="s">
        <v>176</v>
      </c>
      <c r="E4" s="2" t="s">
        <v>176</v>
      </c>
      <c r="F4" s="2" t="s">
        <v>176</v>
      </c>
      <c r="G4" s="2" t="s">
        <v>176</v>
      </c>
      <c r="H4" s="2" t="s">
        <v>176</v>
      </c>
      <c r="I4" s="2" t="s">
        <v>176</v>
      </c>
      <c r="J4" s="2" t="s">
        <v>176</v>
      </c>
      <c r="K4" s="2" t="s">
        <v>176</v>
      </c>
      <c r="L4" s="2" t="s">
        <v>176</v>
      </c>
      <c r="M4" s="2" t="s">
        <v>176</v>
      </c>
      <c r="N4" s="2" t="s">
        <v>176</v>
      </c>
      <c r="O4" s="2" t="s">
        <v>176</v>
      </c>
      <c r="P4" s="2" t="s">
        <v>176</v>
      </c>
      <c r="Q4" s="2" t="s">
        <v>176</v>
      </c>
      <c r="R4" s="2" t="s">
        <v>176</v>
      </c>
      <c r="S4" s="2" t="s">
        <v>176</v>
      </c>
      <c r="T4" s="2" t="s">
        <v>176</v>
      </c>
      <c r="U4" s="2" t="s">
        <v>176</v>
      </c>
      <c r="V4" s="2" t="s">
        <v>176</v>
      </c>
      <c r="W4" s="2" t="s">
        <v>176</v>
      </c>
      <c r="X4" s="2" t="s">
        <v>176</v>
      </c>
      <c r="Y4" s="2"/>
      <c r="Z4" s="2" t="s">
        <v>176</v>
      </c>
      <c r="AA4" s="2" t="s">
        <v>176</v>
      </c>
      <c r="AB4" s="2" t="s">
        <v>176</v>
      </c>
      <c r="AC4" s="2" t="s">
        <v>176</v>
      </c>
      <c r="AD4" s="2" t="s">
        <v>176</v>
      </c>
      <c r="AE4" s="2" t="s">
        <v>176</v>
      </c>
      <c r="AF4" s="2" t="s">
        <v>176</v>
      </c>
      <c r="AG4" s="2" t="s">
        <v>176</v>
      </c>
      <c r="AH4" s="2" t="s">
        <v>176</v>
      </c>
      <c r="AI4" s="2" t="s">
        <v>176</v>
      </c>
      <c r="AJ4" s="2" t="s">
        <v>176</v>
      </c>
      <c r="AK4" s="2" t="s">
        <v>176</v>
      </c>
      <c r="AL4" s="2" t="s">
        <v>176</v>
      </c>
      <c r="AM4" s="2" t="s">
        <v>176</v>
      </c>
      <c r="AN4" s="2" t="s">
        <v>176</v>
      </c>
      <c r="AO4" s="2" t="s">
        <v>176</v>
      </c>
      <c r="AP4" s="2" t="s">
        <v>176</v>
      </c>
      <c r="AQ4" s="2" t="s">
        <v>176</v>
      </c>
      <c r="AR4" s="2" t="s">
        <v>176</v>
      </c>
      <c r="AS4" s="2" t="s">
        <v>176</v>
      </c>
      <c r="AT4" s="2" t="s">
        <v>176</v>
      </c>
      <c r="AU4" s="2" t="s">
        <v>176</v>
      </c>
      <c r="AV4" s="2" t="s">
        <v>176</v>
      </c>
      <c r="AW4" s="2" t="s">
        <v>176</v>
      </c>
      <c r="AX4" s="2" t="s">
        <v>176</v>
      </c>
      <c r="AY4" s="2" t="s">
        <v>176</v>
      </c>
      <c r="AZ4" s="2" t="s">
        <v>176</v>
      </c>
      <c r="BA4" s="2" t="s">
        <v>176</v>
      </c>
      <c r="BB4" s="2" t="s">
        <v>176</v>
      </c>
      <c r="BC4" s="2" t="s">
        <v>176</v>
      </c>
      <c r="BD4" s="2" t="s">
        <v>176</v>
      </c>
      <c r="BE4" s="2" t="s">
        <v>176</v>
      </c>
      <c r="BF4" s="2" t="s">
        <v>176</v>
      </c>
      <c r="BG4" s="2" t="s">
        <v>176</v>
      </c>
      <c r="BH4" s="2" t="s">
        <v>176</v>
      </c>
      <c r="BI4" s="2" t="s">
        <v>176</v>
      </c>
      <c r="BJ4" s="2" t="s">
        <v>176</v>
      </c>
      <c r="BK4" s="2" t="s">
        <v>176</v>
      </c>
      <c r="BL4" s="2" t="s">
        <v>176</v>
      </c>
      <c r="BM4" s="2" t="s">
        <v>176</v>
      </c>
      <c r="BN4" s="2" t="s">
        <v>176</v>
      </c>
      <c r="BO4" s="2" t="s">
        <v>176</v>
      </c>
    </row>
    <row r="5" spans="1:67" x14ac:dyDescent="0.55000000000000004">
      <c r="A5" t="s">
        <v>17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 t="s">
        <v>176</v>
      </c>
      <c r="X5" s="2" t="s">
        <v>176</v>
      </c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</row>
    <row r="6" spans="1:67" x14ac:dyDescent="0.55000000000000004">
      <c r="A6" t="s">
        <v>29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 t="s">
        <v>176</v>
      </c>
      <c r="N6" s="2" t="s">
        <v>176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</row>
    <row r="7" spans="1:67" x14ac:dyDescent="0.55000000000000004">
      <c r="A7" t="s">
        <v>30</v>
      </c>
      <c r="B7" s="2" t="s">
        <v>176</v>
      </c>
      <c r="C7" s="2" t="s">
        <v>176</v>
      </c>
      <c r="D7" s="2" t="s">
        <v>176</v>
      </c>
      <c r="E7" s="2" t="s">
        <v>176</v>
      </c>
      <c r="F7" s="2" t="s">
        <v>176</v>
      </c>
      <c r="G7" s="2" t="s">
        <v>176</v>
      </c>
      <c r="H7" s="2" t="s">
        <v>176</v>
      </c>
      <c r="I7" s="2" t="s">
        <v>176</v>
      </c>
      <c r="J7" s="2" t="s">
        <v>176</v>
      </c>
      <c r="K7" s="2" t="s">
        <v>176</v>
      </c>
      <c r="L7" s="2" t="s">
        <v>176</v>
      </c>
      <c r="M7" s="2" t="s">
        <v>176</v>
      </c>
      <c r="N7" s="2" t="s">
        <v>176</v>
      </c>
      <c r="O7" s="2" t="s">
        <v>176</v>
      </c>
      <c r="P7" s="2" t="s">
        <v>176</v>
      </c>
      <c r="Q7" s="2" t="s">
        <v>176</v>
      </c>
      <c r="R7" s="2" t="s">
        <v>176</v>
      </c>
      <c r="S7" s="2" t="s">
        <v>176</v>
      </c>
      <c r="T7" s="2" t="s">
        <v>176</v>
      </c>
      <c r="U7" s="2" t="s">
        <v>176</v>
      </c>
      <c r="V7" s="2"/>
      <c r="W7" s="2" t="s">
        <v>176</v>
      </c>
      <c r="X7" s="2" t="s">
        <v>176</v>
      </c>
      <c r="Y7" s="2" t="s">
        <v>176</v>
      </c>
      <c r="Z7" s="2" t="s">
        <v>176</v>
      </c>
      <c r="AA7" s="2" t="s">
        <v>176</v>
      </c>
      <c r="AB7" s="2" t="s">
        <v>176</v>
      </c>
      <c r="AC7" s="2" t="s">
        <v>176</v>
      </c>
      <c r="AD7" s="2" t="s">
        <v>176</v>
      </c>
      <c r="AE7" s="2" t="s">
        <v>176</v>
      </c>
      <c r="AF7" s="2" t="s">
        <v>176</v>
      </c>
      <c r="AG7" s="2" t="s">
        <v>176</v>
      </c>
      <c r="AH7" s="2" t="s">
        <v>176</v>
      </c>
      <c r="AI7" s="2" t="s">
        <v>176</v>
      </c>
      <c r="AJ7" s="2" t="s">
        <v>176</v>
      </c>
      <c r="AK7" s="2" t="s">
        <v>176</v>
      </c>
      <c r="AL7" s="2" t="s">
        <v>176</v>
      </c>
      <c r="AM7" s="2" t="s">
        <v>176</v>
      </c>
      <c r="AN7" s="2" t="s">
        <v>176</v>
      </c>
      <c r="AO7" s="2" t="s">
        <v>176</v>
      </c>
      <c r="AP7" s="2" t="s">
        <v>176</v>
      </c>
      <c r="AQ7" s="2" t="s">
        <v>176</v>
      </c>
      <c r="AR7" s="2" t="s">
        <v>176</v>
      </c>
      <c r="AS7" s="2" t="s">
        <v>176</v>
      </c>
      <c r="AT7" s="2" t="s">
        <v>176</v>
      </c>
      <c r="AU7" s="2" t="s">
        <v>176</v>
      </c>
      <c r="AV7" s="2" t="s">
        <v>176</v>
      </c>
      <c r="AW7" s="2" t="s">
        <v>176</v>
      </c>
      <c r="AX7" s="2" t="s">
        <v>176</v>
      </c>
      <c r="AY7" s="2" t="s">
        <v>176</v>
      </c>
      <c r="AZ7" s="2" t="s">
        <v>176</v>
      </c>
      <c r="BA7" s="2" t="s">
        <v>176</v>
      </c>
      <c r="BB7" s="2" t="s">
        <v>176</v>
      </c>
      <c r="BC7" s="2" t="s">
        <v>176</v>
      </c>
      <c r="BD7" s="2" t="s">
        <v>176</v>
      </c>
      <c r="BE7" s="2" t="s">
        <v>176</v>
      </c>
      <c r="BF7" s="2" t="s">
        <v>176</v>
      </c>
      <c r="BG7" s="2" t="s">
        <v>176</v>
      </c>
      <c r="BH7" s="2" t="s">
        <v>176</v>
      </c>
      <c r="BI7" s="2" t="s">
        <v>176</v>
      </c>
      <c r="BJ7" s="2"/>
      <c r="BK7" s="2"/>
      <c r="BL7" s="2"/>
      <c r="BM7" s="2"/>
      <c r="BN7" s="2"/>
      <c r="BO7" s="2"/>
    </row>
    <row r="8" spans="1:67" x14ac:dyDescent="0.55000000000000004">
      <c r="A8" t="s">
        <v>31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 t="s">
        <v>176</v>
      </c>
      <c r="W8" s="2"/>
      <c r="X8" s="2"/>
      <c r="Y8" s="2" t="s">
        <v>176</v>
      </c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</row>
    <row r="9" spans="1:67" x14ac:dyDescent="0.55000000000000004">
      <c r="A9" t="s">
        <v>32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 t="s">
        <v>176</v>
      </c>
      <c r="BM9" s="2" t="s">
        <v>176</v>
      </c>
      <c r="BN9" s="2" t="s">
        <v>176</v>
      </c>
      <c r="BO9" s="2" t="s">
        <v>176</v>
      </c>
    </row>
    <row r="10" spans="1:67" x14ac:dyDescent="0.55000000000000004">
      <c r="A10" t="s">
        <v>33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 t="s">
        <v>176</v>
      </c>
      <c r="BK10" s="2" t="s">
        <v>176</v>
      </c>
      <c r="BL10" s="2"/>
      <c r="BM10" s="2"/>
      <c r="BN10" s="2"/>
      <c r="BO10" s="2"/>
    </row>
    <row r="11" spans="1:67" x14ac:dyDescent="0.55000000000000004">
      <c r="A11" t="s">
        <v>34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</row>
    <row r="12" spans="1:67" x14ac:dyDescent="0.55000000000000004">
      <c r="A12" t="s">
        <v>35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 t="s">
        <v>176</v>
      </c>
      <c r="BM12" s="2" t="s">
        <v>176</v>
      </c>
      <c r="BN12" s="2" t="s">
        <v>176</v>
      </c>
      <c r="BO12" s="2" t="s">
        <v>176</v>
      </c>
    </row>
    <row r="13" spans="1:67" x14ac:dyDescent="0.55000000000000004">
      <c r="A13" t="s">
        <v>36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</row>
    <row r="14" spans="1:67" x14ac:dyDescent="0.55000000000000004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E0D56-0EA9-46D8-B5E9-9C07B84FEEED}">
  <dimension ref="B1:H63"/>
  <sheetViews>
    <sheetView tabSelected="1" zoomScale="55" zoomScaleNormal="55" workbookViewId="0">
      <selection activeCell="D17" sqref="D17"/>
    </sheetView>
  </sheetViews>
  <sheetFormatPr defaultRowHeight="18" x14ac:dyDescent="0.55000000000000004"/>
  <cols>
    <col min="2" max="2" width="3.9140625" bestFit="1" customWidth="1"/>
    <col min="3" max="3" width="23.75" bestFit="1" customWidth="1"/>
    <col min="4" max="4" width="23.9140625" bestFit="1" customWidth="1"/>
    <col min="5" max="5" width="15.33203125" bestFit="1" customWidth="1"/>
    <col min="6" max="6" width="58.58203125" customWidth="1"/>
    <col min="8" max="8" width="19.4140625" customWidth="1"/>
  </cols>
  <sheetData>
    <row r="1" spans="2:8" ht="18.5" thickBot="1" x14ac:dyDescent="0.6"/>
    <row r="2" spans="2:8" ht="18.5" thickBot="1" x14ac:dyDescent="0.3">
      <c r="B2" s="3" t="s">
        <v>177</v>
      </c>
      <c r="C2" s="3" t="s">
        <v>178</v>
      </c>
      <c r="D2" s="3" t="s">
        <v>179</v>
      </c>
      <c r="E2" s="3" t="s">
        <v>180</v>
      </c>
      <c r="F2" s="11" t="s">
        <v>368</v>
      </c>
      <c r="G2" s="14" t="s">
        <v>371</v>
      </c>
    </row>
    <row r="3" spans="2:8" ht="18.5" thickBot="1" x14ac:dyDescent="0.3">
      <c r="B3" s="4" t="s">
        <v>181</v>
      </c>
      <c r="C3" s="4" t="s">
        <v>182</v>
      </c>
      <c r="D3" s="4" t="s">
        <v>183</v>
      </c>
      <c r="E3" s="4" t="s">
        <v>184</v>
      </c>
      <c r="F3" s="7" t="s">
        <v>369</v>
      </c>
      <c r="G3" s="15" t="s">
        <v>372</v>
      </c>
    </row>
    <row r="4" spans="2:8" ht="18.5" thickBot="1" x14ac:dyDescent="0.3">
      <c r="B4" s="4" t="s">
        <v>185</v>
      </c>
      <c r="C4" s="4" t="s">
        <v>186</v>
      </c>
      <c r="D4" s="4" t="s">
        <v>187</v>
      </c>
      <c r="E4" s="5">
        <v>46113</v>
      </c>
      <c r="F4" s="5" t="s">
        <v>373</v>
      </c>
      <c r="G4" s="16" t="s">
        <v>372</v>
      </c>
    </row>
    <row r="5" spans="2:8" ht="18.5" thickBot="1" x14ac:dyDescent="0.3">
      <c r="B5" s="4" t="s">
        <v>188</v>
      </c>
      <c r="C5" s="4" t="s">
        <v>189</v>
      </c>
      <c r="D5" s="4" t="s">
        <v>190</v>
      </c>
      <c r="E5" s="4" t="s">
        <v>191</v>
      </c>
      <c r="F5" s="12">
        <v>2497000</v>
      </c>
      <c r="G5" s="15" t="s">
        <v>372</v>
      </c>
    </row>
    <row r="6" spans="2:8" ht="18.5" thickBot="1" x14ac:dyDescent="0.3">
      <c r="B6" s="4" t="s">
        <v>192</v>
      </c>
      <c r="C6" s="4" t="s">
        <v>193</v>
      </c>
      <c r="D6" s="4" t="s">
        <v>160</v>
      </c>
      <c r="E6" s="4" t="s">
        <v>194</v>
      </c>
      <c r="F6" s="13">
        <v>46017</v>
      </c>
      <c r="G6" s="19" t="s">
        <v>372</v>
      </c>
    </row>
    <row r="7" spans="2:8" ht="18.5" thickBot="1" x14ac:dyDescent="0.3">
      <c r="B7" s="4" t="s">
        <v>195</v>
      </c>
      <c r="C7" s="4" t="s">
        <v>196</v>
      </c>
      <c r="D7" s="4" t="s">
        <v>197</v>
      </c>
      <c r="E7" s="4" t="s">
        <v>198</v>
      </c>
      <c r="F7" s="7">
        <v>4204</v>
      </c>
      <c r="G7" s="19" t="s">
        <v>372</v>
      </c>
    </row>
    <row r="8" spans="2:8" ht="18.5" thickBot="1" x14ac:dyDescent="0.3">
      <c r="B8" s="4" t="s">
        <v>199</v>
      </c>
      <c r="C8" s="4" t="s">
        <v>200</v>
      </c>
      <c r="D8" s="4" t="s">
        <v>201</v>
      </c>
      <c r="E8" s="4">
        <v>1</v>
      </c>
      <c r="F8">
        <v>1</v>
      </c>
      <c r="G8" s="19" t="s">
        <v>372</v>
      </c>
    </row>
    <row r="9" spans="2:8" ht="18.5" thickBot="1" x14ac:dyDescent="0.3">
      <c r="B9" s="4" t="s">
        <v>202</v>
      </c>
      <c r="C9" s="4" t="s">
        <v>203</v>
      </c>
      <c r="D9" s="4" t="s">
        <v>204</v>
      </c>
      <c r="E9" s="4" t="s">
        <v>205</v>
      </c>
      <c r="F9" s="12">
        <v>2270000</v>
      </c>
      <c r="G9" s="19" t="s">
        <v>372</v>
      </c>
    </row>
    <row r="10" spans="2:8" ht="18.5" thickBot="1" x14ac:dyDescent="0.3">
      <c r="B10" s="4" t="s">
        <v>206</v>
      </c>
      <c r="C10" s="4" t="s">
        <v>207</v>
      </c>
      <c r="D10" s="4" t="s">
        <v>208</v>
      </c>
      <c r="E10" s="4" t="s">
        <v>209</v>
      </c>
      <c r="F10" s="7" t="s">
        <v>370</v>
      </c>
      <c r="G10" s="19" t="s">
        <v>372</v>
      </c>
    </row>
    <row r="11" spans="2:8" ht="18.5" thickBot="1" x14ac:dyDescent="0.3">
      <c r="B11" s="4" t="s">
        <v>210</v>
      </c>
      <c r="C11" s="4" t="s">
        <v>75</v>
      </c>
      <c r="D11" s="4" t="s">
        <v>211</v>
      </c>
      <c r="E11" s="4" t="s">
        <v>212</v>
      </c>
      <c r="F11" s="13">
        <v>45962</v>
      </c>
      <c r="G11" s="19" t="s">
        <v>372</v>
      </c>
    </row>
    <row r="12" spans="2:8" ht="18.5" thickBot="1" x14ac:dyDescent="0.3">
      <c r="B12" s="4" t="s">
        <v>213</v>
      </c>
      <c r="C12" s="4" t="s">
        <v>76</v>
      </c>
      <c r="D12" s="4" t="s">
        <v>214</v>
      </c>
      <c r="E12" s="4" t="s">
        <v>215</v>
      </c>
      <c r="F12" s="13">
        <v>45991</v>
      </c>
      <c r="G12" s="19" t="s">
        <v>372</v>
      </c>
    </row>
    <row r="13" spans="2:8" ht="18.5" thickBot="1" x14ac:dyDescent="0.55000000000000004">
      <c r="B13" s="4" t="s">
        <v>216</v>
      </c>
      <c r="C13" s="4" t="s">
        <v>217</v>
      </c>
      <c r="D13" s="4" t="s">
        <v>218</v>
      </c>
      <c r="E13" s="4" t="s">
        <v>219</v>
      </c>
      <c r="F13" s="17" t="s">
        <v>375</v>
      </c>
      <c r="G13" s="15" t="s">
        <v>372</v>
      </c>
      <c r="H13" s="18" t="s">
        <v>376</v>
      </c>
    </row>
    <row r="14" spans="2:8" ht="25.5" thickBot="1" x14ac:dyDescent="0.3">
      <c r="B14" s="4" t="s">
        <v>220</v>
      </c>
      <c r="C14" s="4" t="s">
        <v>221</v>
      </c>
      <c r="D14" s="4" t="s">
        <v>222</v>
      </c>
      <c r="E14" s="4" t="s">
        <v>223</v>
      </c>
      <c r="F14" s="7" t="s">
        <v>374</v>
      </c>
      <c r="G14" s="15" t="s">
        <v>372</v>
      </c>
    </row>
    <row r="15" spans="2:8" ht="25.5" thickBot="1" x14ac:dyDescent="0.3">
      <c r="B15" s="4" t="s">
        <v>224</v>
      </c>
      <c r="C15" s="4" t="s">
        <v>221</v>
      </c>
      <c r="D15" s="4" t="s">
        <v>225</v>
      </c>
      <c r="E15" s="4" t="s">
        <v>223</v>
      </c>
      <c r="F15" s="7" t="s">
        <v>374</v>
      </c>
      <c r="G15" s="15" t="s">
        <v>372</v>
      </c>
    </row>
    <row r="16" spans="2:8" ht="18.5" thickBot="1" x14ac:dyDescent="0.3">
      <c r="B16" s="4" t="s">
        <v>226</v>
      </c>
      <c r="C16" s="4" t="s">
        <v>227</v>
      </c>
      <c r="D16" s="4" t="s">
        <v>227</v>
      </c>
      <c r="E16" s="4" t="s">
        <v>228</v>
      </c>
      <c r="F16" s="20" t="s">
        <v>377</v>
      </c>
      <c r="G16" s="19" t="s">
        <v>372</v>
      </c>
    </row>
    <row r="17" spans="2:8" ht="18.5" thickBot="1" x14ac:dyDescent="0.3">
      <c r="B17" s="4" t="s">
        <v>229</v>
      </c>
      <c r="C17" s="4" t="s">
        <v>230</v>
      </c>
      <c r="D17" s="4" t="s">
        <v>230</v>
      </c>
      <c r="E17" s="4" t="s">
        <v>231</v>
      </c>
      <c r="F17" s="7" t="s">
        <v>378</v>
      </c>
      <c r="G17" s="19" t="s">
        <v>372</v>
      </c>
    </row>
    <row r="18" spans="2:8" ht="36.5" thickBot="1" x14ac:dyDescent="0.3">
      <c r="B18" s="4" t="s">
        <v>232</v>
      </c>
      <c r="C18" s="6" t="s">
        <v>233</v>
      </c>
      <c r="D18" s="6" t="s">
        <v>134</v>
      </c>
      <c r="E18" s="6" t="s">
        <v>234</v>
      </c>
      <c r="F18" s="1" t="s">
        <v>379</v>
      </c>
      <c r="G18" s="19" t="s">
        <v>380</v>
      </c>
    </row>
    <row r="19" spans="2:8" ht="18.5" thickBot="1" x14ac:dyDescent="0.55000000000000004">
      <c r="B19" s="4" t="s">
        <v>235</v>
      </c>
      <c r="C19" s="6" t="s">
        <v>236</v>
      </c>
      <c r="D19" s="6" t="s">
        <v>162</v>
      </c>
      <c r="E19" s="6">
        <v>216</v>
      </c>
      <c r="F19" s="17" t="s">
        <v>381</v>
      </c>
      <c r="G19" s="19" t="s">
        <v>380</v>
      </c>
      <c r="H19" s="21" t="s">
        <v>382</v>
      </c>
    </row>
    <row r="20" spans="2:8" ht="18.5" thickBot="1" x14ac:dyDescent="0.3">
      <c r="B20" s="4" t="s">
        <v>237</v>
      </c>
      <c r="C20" s="6" t="s">
        <v>238</v>
      </c>
      <c r="D20" s="6" t="s">
        <v>239</v>
      </c>
      <c r="E20" s="6" t="s">
        <v>240</v>
      </c>
      <c r="F20">
        <v>1</v>
      </c>
      <c r="G20" s="19" t="s">
        <v>380</v>
      </c>
      <c r="H20" t="s">
        <v>383</v>
      </c>
    </row>
    <row r="21" spans="2:8" ht="18.5" thickBot="1" x14ac:dyDescent="0.3">
      <c r="B21" s="4" t="s">
        <v>241</v>
      </c>
      <c r="C21" s="6" t="s">
        <v>242</v>
      </c>
      <c r="D21" s="6" t="s">
        <v>163</v>
      </c>
      <c r="E21" s="6" t="s">
        <v>243</v>
      </c>
      <c r="F21" s="7" t="s">
        <v>390</v>
      </c>
      <c r="G21" s="19" t="s">
        <v>380</v>
      </c>
      <c r="H21" s="7" t="s">
        <v>389</v>
      </c>
    </row>
    <row r="22" spans="2:8" ht="18.5" thickBot="1" x14ac:dyDescent="0.55000000000000004">
      <c r="B22" s="4" t="s">
        <v>244</v>
      </c>
      <c r="C22" s="6" t="s">
        <v>245</v>
      </c>
      <c r="D22" s="6" t="s">
        <v>246</v>
      </c>
      <c r="E22" s="6"/>
      <c r="G22" s="19" t="s">
        <v>380</v>
      </c>
      <c r="H22" s="21" t="s">
        <v>385</v>
      </c>
    </row>
    <row r="23" spans="2:8" ht="18.5" thickBot="1" x14ac:dyDescent="0.3">
      <c r="B23" s="4" t="s">
        <v>247</v>
      </c>
      <c r="C23" s="6" t="s">
        <v>248</v>
      </c>
      <c r="D23" s="6" t="s">
        <v>249</v>
      </c>
      <c r="E23" s="6" t="s">
        <v>250</v>
      </c>
      <c r="F23" s="7" t="s">
        <v>386</v>
      </c>
      <c r="G23" s="19" t="s">
        <v>380</v>
      </c>
    </row>
    <row r="24" spans="2:8" ht="18.5" thickBot="1" x14ac:dyDescent="0.3">
      <c r="B24" s="4" t="s">
        <v>251</v>
      </c>
      <c r="C24" s="6" t="s">
        <v>252</v>
      </c>
      <c r="D24" s="6" t="s">
        <v>253</v>
      </c>
      <c r="E24" s="6" t="s">
        <v>254</v>
      </c>
      <c r="F24" s="7" t="s">
        <v>387</v>
      </c>
      <c r="G24" s="19" t="s">
        <v>380</v>
      </c>
    </row>
    <row r="25" spans="2:8" ht="18.5" thickBot="1" x14ac:dyDescent="0.3">
      <c r="B25" s="4" t="s">
        <v>255</v>
      </c>
      <c r="C25" s="6" t="s">
        <v>256</v>
      </c>
      <c r="D25" s="6" t="s">
        <v>145</v>
      </c>
      <c r="E25" s="6" t="s">
        <v>257</v>
      </c>
      <c r="F25" t="s">
        <v>388</v>
      </c>
      <c r="G25" s="19" t="s">
        <v>380</v>
      </c>
    </row>
    <row r="26" spans="2:8" ht="18.5" thickBot="1" x14ac:dyDescent="0.3">
      <c r="B26" s="4" t="s">
        <v>258</v>
      </c>
      <c r="C26" s="6" t="s">
        <v>236</v>
      </c>
      <c r="D26" s="6" t="s">
        <v>259</v>
      </c>
      <c r="E26" s="6">
        <v>216</v>
      </c>
      <c r="F26" s="17" t="s">
        <v>381</v>
      </c>
      <c r="G26" s="19" t="s">
        <v>380</v>
      </c>
    </row>
    <row r="27" spans="2:8" ht="18.5" thickBot="1" x14ac:dyDescent="0.3">
      <c r="B27" s="4" t="s">
        <v>260</v>
      </c>
      <c r="C27" s="6" t="s">
        <v>261</v>
      </c>
      <c r="D27" s="6" t="s">
        <v>146</v>
      </c>
      <c r="E27" s="6"/>
      <c r="F27" s="7">
        <v>70010457</v>
      </c>
      <c r="G27" s="19" t="s">
        <v>380</v>
      </c>
    </row>
    <row r="28" spans="2:8" ht="25.5" thickBot="1" x14ac:dyDescent="0.3">
      <c r="B28" s="4" t="s">
        <v>262</v>
      </c>
      <c r="C28" s="6" t="s">
        <v>263</v>
      </c>
      <c r="D28" s="6" t="s">
        <v>264</v>
      </c>
      <c r="E28" s="6" t="s">
        <v>265</v>
      </c>
      <c r="F28" s="7" t="s">
        <v>392</v>
      </c>
      <c r="G28" s="19" t="s">
        <v>380</v>
      </c>
      <c r="H28" s="22" t="s">
        <v>391</v>
      </c>
    </row>
    <row r="29" spans="2:8" ht="18.5" thickBot="1" x14ac:dyDescent="0.3">
      <c r="B29" s="4" t="s">
        <v>266</v>
      </c>
      <c r="C29" s="6" t="s">
        <v>267</v>
      </c>
      <c r="D29" s="6" t="s">
        <v>268</v>
      </c>
      <c r="E29" s="6" t="s">
        <v>269</v>
      </c>
      <c r="G29" s="19" t="s">
        <v>380</v>
      </c>
    </row>
    <row r="30" spans="2:8" ht="18.5" thickBot="1" x14ac:dyDescent="0.3">
      <c r="B30" s="4" t="s">
        <v>270</v>
      </c>
      <c r="C30" s="6" t="s">
        <v>271</v>
      </c>
      <c r="D30" s="6" t="s">
        <v>272</v>
      </c>
      <c r="E30" s="6"/>
      <c r="G30" s="19" t="s">
        <v>380</v>
      </c>
    </row>
    <row r="31" spans="2:8" ht="18.5" thickBot="1" x14ac:dyDescent="0.3">
      <c r="B31" s="4" t="s">
        <v>273</v>
      </c>
      <c r="C31" s="8" t="s">
        <v>274</v>
      </c>
      <c r="D31" s="8" t="s">
        <v>275</v>
      </c>
      <c r="E31" s="8" t="s">
        <v>276</v>
      </c>
      <c r="F31" s="12">
        <v>227000</v>
      </c>
      <c r="G31" s="19" t="s">
        <v>380</v>
      </c>
    </row>
    <row r="32" spans="2:8" ht="18.5" thickBot="1" x14ac:dyDescent="0.3">
      <c r="B32" s="4" t="s">
        <v>277</v>
      </c>
      <c r="C32" s="8" t="s">
        <v>278</v>
      </c>
      <c r="D32" s="8" t="s">
        <v>279</v>
      </c>
      <c r="E32" s="8" t="s">
        <v>280</v>
      </c>
      <c r="F32" s="13">
        <v>45991</v>
      </c>
      <c r="G32" s="19" t="s">
        <v>380</v>
      </c>
    </row>
    <row r="33" spans="2:7" ht="18.5" thickBot="1" x14ac:dyDescent="0.3">
      <c r="B33" s="4" t="s">
        <v>281</v>
      </c>
      <c r="C33" s="8" t="s">
        <v>282</v>
      </c>
      <c r="D33" s="8" t="s">
        <v>283</v>
      </c>
      <c r="E33" s="8"/>
      <c r="G33" s="19" t="s">
        <v>380</v>
      </c>
    </row>
    <row r="34" spans="2:7" ht="18.5" thickBot="1" x14ac:dyDescent="0.3">
      <c r="B34" s="4" t="s">
        <v>284</v>
      </c>
      <c r="C34" s="8" t="s">
        <v>285</v>
      </c>
      <c r="D34" s="8" t="s">
        <v>286</v>
      </c>
      <c r="E34" s="8"/>
      <c r="G34" s="19" t="s">
        <v>380</v>
      </c>
    </row>
    <row r="35" spans="2:7" ht="18.5" thickBot="1" x14ac:dyDescent="0.3">
      <c r="B35" s="4" t="s">
        <v>287</v>
      </c>
      <c r="C35" s="8" t="s">
        <v>288</v>
      </c>
      <c r="D35" s="8" t="s">
        <v>289</v>
      </c>
      <c r="E35" s="8" t="s">
        <v>393</v>
      </c>
      <c r="F35" s="7" t="s">
        <v>394</v>
      </c>
      <c r="G35" s="19" t="s">
        <v>380</v>
      </c>
    </row>
    <row r="36" spans="2:7" ht="18.5" thickBot="1" x14ac:dyDescent="0.3">
      <c r="B36" s="4" t="s">
        <v>291</v>
      </c>
      <c r="C36" s="8" t="s">
        <v>292</v>
      </c>
      <c r="D36" s="8" t="s">
        <v>293</v>
      </c>
      <c r="E36" s="8"/>
      <c r="G36" s="19" t="s">
        <v>380</v>
      </c>
    </row>
    <row r="37" spans="2:7" ht="18.5" thickBot="1" x14ac:dyDescent="0.3">
      <c r="B37" s="4" t="s">
        <v>294</v>
      </c>
      <c r="C37" s="8" t="s">
        <v>295</v>
      </c>
      <c r="D37" s="8" t="s">
        <v>296</v>
      </c>
      <c r="E37" s="8"/>
      <c r="G37" s="19" t="s">
        <v>380</v>
      </c>
    </row>
    <row r="38" spans="2:7" ht="18.5" thickBot="1" x14ac:dyDescent="0.3">
      <c r="B38" s="4" t="s">
        <v>297</v>
      </c>
      <c r="C38" s="8" t="s">
        <v>298</v>
      </c>
      <c r="D38" s="8" t="s">
        <v>299</v>
      </c>
      <c r="E38" s="8" t="s">
        <v>300</v>
      </c>
      <c r="F38" s="7">
        <v>2250000</v>
      </c>
      <c r="G38" s="19" t="s">
        <v>380</v>
      </c>
    </row>
    <row r="39" spans="2:7" ht="18.5" thickBot="1" x14ac:dyDescent="0.3">
      <c r="B39" s="4" t="s">
        <v>301</v>
      </c>
      <c r="C39" s="8" t="s">
        <v>302</v>
      </c>
      <c r="D39" s="8" t="s">
        <v>303</v>
      </c>
      <c r="E39" s="8" t="s">
        <v>304</v>
      </c>
      <c r="F39" s="7" t="s">
        <v>384</v>
      </c>
      <c r="G39" s="19" t="s">
        <v>380</v>
      </c>
    </row>
    <row r="40" spans="2:7" ht="18.5" thickBot="1" x14ac:dyDescent="0.3">
      <c r="B40" s="4" t="s">
        <v>305</v>
      </c>
      <c r="C40" s="8" t="s">
        <v>236</v>
      </c>
      <c r="D40" s="8" t="s">
        <v>306</v>
      </c>
      <c r="E40" s="8">
        <v>216</v>
      </c>
      <c r="F40" s="23" t="s">
        <v>381</v>
      </c>
      <c r="G40" s="19" t="s">
        <v>380</v>
      </c>
    </row>
    <row r="41" spans="2:7" ht="18.5" thickBot="1" x14ac:dyDescent="0.3">
      <c r="B41" s="4" t="s">
        <v>307</v>
      </c>
      <c r="C41" s="9" t="s">
        <v>308</v>
      </c>
      <c r="D41" s="9" t="s">
        <v>309</v>
      </c>
      <c r="E41" s="9"/>
    </row>
    <row r="42" spans="2:7" ht="18.5" thickBot="1" x14ac:dyDescent="0.3">
      <c r="B42" s="4" t="s">
        <v>310</v>
      </c>
      <c r="C42" s="9" t="s">
        <v>311</v>
      </c>
      <c r="D42" s="9" t="s">
        <v>312</v>
      </c>
      <c r="E42" s="9"/>
    </row>
    <row r="43" spans="2:7" ht="18.5" thickBot="1" x14ac:dyDescent="0.3">
      <c r="B43" s="4" t="s">
        <v>313</v>
      </c>
      <c r="C43" s="9" t="s">
        <v>102</v>
      </c>
      <c r="D43" s="9" t="s">
        <v>314</v>
      </c>
      <c r="E43" s="9"/>
    </row>
    <row r="44" spans="2:7" ht="18.5" thickBot="1" x14ac:dyDescent="0.3">
      <c r="B44" s="4" t="s">
        <v>315</v>
      </c>
      <c r="C44" s="9" t="s">
        <v>103</v>
      </c>
      <c r="D44" s="9" t="s">
        <v>316</v>
      </c>
      <c r="E44" s="9" t="s">
        <v>317</v>
      </c>
    </row>
    <row r="45" spans="2:7" ht="18.5" thickBot="1" x14ac:dyDescent="0.3">
      <c r="B45" s="4" t="s">
        <v>318</v>
      </c>
      <c r="C45" s="9" t="s">
        <v>104</v>
      </c>
      <c r="D45" s="9" t="s">
        <v>319</v>
      </c>
      <c r="E45" s="9"/>
    </row>
    <row r="46" spans="2:7" ht="18.5" thickBot="1" x14ac:dyDescent="0.3">
      <c r="B46" s="4" t="s">
        <v>320</v>
      </c>
      <c r="C46" s="9" t="s">
        <v>105</v>
      </c>
      <c r="D46" s="9" t="s">
        <v>321</v>
      </c>
      <c r="E46" s="9"/>
    </row>
    <row r="47" spans="2:7" ht="18.5" thickBot="1" x14ac:dyDescent="0.3">
      <c r="B47" s="4" t="s">
        <v>322</v>
      </c>
      <c r="C47" s="9" t="s">
        <v>106</v>
      </c>
      <c r="D47" s="9" t="s">
        <v>323</v>
      </c>
      <c r="E47" s="9"/>
    </row>
    <row r="48" spans="2:7" ht="18.5" thickBot="1" x14ac:dyDescent="0.3">
      <c r="B48" s="4" t="s">
        <v>324</v>
      </c>
      <c r="C48" s="9" t="s">
        <v>107</v>
      </c>
      <c r="D48" s="9" t="s">
        <v>325</v>
      </c>
      <c r="E48" s="9"/>
    </row>
    <row r="49" spans="2:5" ht="18.5" thickBot="1" x14ac:dyDescent="0.3">
      <c r="B49" s="4" t="s">
        <v>326</v>
      </c>
      <c r="C49" s="9" t="s">
        <v>108</v>
      </c>
      <c r="D49" s="9" t="s">
        <v>327</v>
      </c>
      <c r="E49" s="9" t="s">
        <v>328</v>
      </c>
    </row>
    <row r="50" spans="2:5" ht="18.5" thickBot="1" x14ac:dyDescent="0.3">
      <c r="B50" s="4" t="s">
        <v>329</v>
      </c>
      <c r="C50" s="9" t="s">
        <v>109</v>
      </c>
      <c r="D50" s="9" t="s">
        <v>330</v>
      </c>
      <c r="E50" s="9" t="s">
        <v>331</v>
      </c>
    </row>
    <row r="51" spans="2:5" ht="18.5" thickBot="1" x14ac:dyDescent="0.3">
      <c r="B51" s="4" t="s">
        <v>332</v>
      </c>
      <c r="C51" s="9" t="s">
        <v>110</v>
      </c>
      <c r="D51" s="9" t="s">
        <v>333</v>
      </c>
      <c r="E51" s="9" t="s">
        <v>290</v>
      </c>
    </row>
    <row r="52" spans="2:5" ht="18.5" thickBot="1" x14ac:dyDescent="0.3">
      <c r="B52" s="4" t="s">
        <v>334</v>
      </c>
      <c r="C52" s="9" t="s">
        <v>335</v>
      </c>
      <c r="D52" s="9" t="s">
        <v>336</v>
      </c>
      <c r="E52" s="9"/>
    </row>
    <row r="53" spans="2:5" ht="18.5" thickBot="1" x14ac:dyDescent="0.3">
      <c r="B53" s="4" t="s">
        <v>337</v>
      </c>
      <c r="C53" s="9" t="s">
        <v>111</v>
      </c>
      <c r="D53" s="9" t="s">
        <v>338</v>
      </c>
      <c r="E53" s="9"/>
    </row>
    <row r="54" spans="2:5" ht="18.5" thickBot="1" x14ac:dyDescent="0.3">
      <c r="B54" s="4" t="s">
        <v>339</v>
      </c>
      <c r="C54" s="9" t="s">
        <v>112</v>
      </c>
      <c r="D54" s="9" t="s">
        <v>340</v>
      </c>
      <c r="E54" s="9" t="s">
        <v>341</v>
      </c>
    </row>
    <row r="55" spans="2:5" ht="18.5" thickBot="1" x14ac:dyDescent="0.3">
      <c r="B55" s="4" t="s">
        <v>342</v>
      </c>
      <c r="C55" s="9" t="s">
        <v>113</v>
      </c>
      <c r="D55" s="9" t="s">
        <v>343</v>
      </c>
      <c r="E55" s="9"/>
    </row>
    <row r="56" spans="2:5" ht="18.5" thickBot="1" x14ac:dyDescent="0.3">
      <c r="B56" s="4" t="s">
        <v>344</v>
      </c>
      <c r="C56" s="9" t="s">
        <v>114</v>
      </c>
      <c r="D56" s="9" t="s">
        <v>345</v>
      </c>
      <c r="E56" s="9"/>
    </row>
    <row r="57" spans="2:5" ht="25.5" thickBot="1" x14ac:dyDescent="0.3">
      <c r="B57" s="4" t="s">
        <v>346</v>
      </c>
      <c r="C57" s="9" t="s">
        <v>347</v>
      </c>
      <c r="D57" s="9" t="s">
        <v>348</v>
      </c>
      <c r="E57" s="9">
        <v>100</v>
      </c>
    </row>
    <row r="58" spans="2:5" ht="18.5" thickBot="1" x14ac:dyDescent="0.3">
      <c r="B58" s="4" t="s">
        <v>349</v>
      </c>
      <c r="C58" s="4" t="s">
        <v>350</v>
      </c>
      <c r="D58" s="4" t="s">
        <v>350</v>
      </c>
      <c r="E58" s="4" t="s">
        <v>351</v>
      </c>
    </row>
    <row r="59" spans="2:5" ht="18.5" thickBot="1" x14ac:dyDescent="0.3">
      <c r="B59" s="4" t="s">
        <v>352</v>
      </c>
      <c r="C59" s="4" t="s">
        <v>353</v>
      </c>
      <c r="D59" s="4" t="s">
        <v>354</v>
      </c>
      <c r="E59" s="4" t="s">
        <v>355</v>
      </c>
    </row>
    <row r="60" spans="2:5" ht="18.5" thickBot="1" x14ac:dyDescent="0.3">
      <c r="B60" s="4" t="s">
        <v>356</v>
      </c>
      <c r="C60" s="10" t="s">
        <v>170</v>
      </c>
      <c r="D60" s="10" t="s">
        <v>357</v>
      </c>
      <c r="E60" s="10" t="s">
        <v>358</v>
      </c>
    </row>
    <row r="61" spans="2:5" ht="25.5" thickBot="1" x14ac:dyDescent="0.3">
      <c r="B61" s="4" t="s">
        <v>359</v>
      </c>
      <c r="C61" s="10" t="s">
        <v>171</v>
      </c>
      <c r="D61" s="10" t="s">
        <v>360</v>
      </c>
      <c r="E61" s="10" t="s">
        <v>361</v>
      </c>
    </row>
    <row r="62" spans="2:5" ht="18.5" thickBot="1" x14ac:dyDescent="0.3">
      <c r="B62" s="4" t="s">
        <v>362</v>
      </c>
      <c r="C62" s="10" t="s">
        <v>172</v>
      </c>
      <c r="D62" s="10" t="s">
        <v>363</v>
      </c>
      <c r="E62" s="10" t="s">
        <v>364</v>
      </c>
    </row>
    <row r="63" spans="2:5" ht="18.5" thickBot="1" x14ac:dyDescent="0.3">
      <c r="B63" s="4" t="s">
        <v>365</v>
      </c>
      <c r="C63" s="10" t="s">
        <v>173</v>
      </c>
      <c r="D63" s="10" t="s">
        <v>366</v>
      </c>
      <c r="E63" s="10" t="s">
        <v>367</v>
      </c>
    </row>
  </sheetData>
  <phoneticPr fontId="1"/>
  <hyperlinks>
    <hyperlink ref="F16" r:id="rId1" display="https://drive.google.com/file/d/1EKeiejM5AO_JDlRTPbB1vPPimFkwRG3k/view?usp=drivesd" xr:uid="{D16A6F2E-0620-4FA6-BCC4-C1C1EBADFE8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F928C-7105-46DE-9041-9D8AB860AFC5}">
  <dimension ref="A1"/>
  <sheetViews>
    <sheetView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テスト観点整理（正常系）</vt:lpstr>
      <vt:lpstr>データ項目一覧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越智 啓人</dc:creator>
  <cp:lastModifiedBy>越智 啓人</cp:lastModifiedBy>
  <dcterms:created xsi:type="dcterms:W3CDTF">2026-01-20T18:46:50Z</dcterms:created>
  <dcterms:modified xsi:type="dcterms:W3CDTF">2026-04-02T09:04:05Z</dcterms:modified>
</cp:coreProperties>
</file>